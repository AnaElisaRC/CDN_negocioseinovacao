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b25576f11524891/Documentos/CDN/Negocios e Organizações/"/>
    </mc:Choice>
  </mc:AlternateContent>
  <xr:revisionPtr revIDLastSave="0" documentId="8_{8A933B79-4D5F-4F58-A61C-5EB08125F3ED}" xr6:coauthVersionLast="47" xr6:coauthVersionMax="47" xr10:uidLastSave="{00000000-0000-0000-0000-000000000000}"/>
  <bookViews>
    <workbookView xWindow="-108" yWindow="-108" windowWidth="23256" windowHeight="12456" firstSheet="4" activeTab="4" xr2:uid="{4D5D3612-2FCC-4B5A-A6D7-9975CD52AC8C}"/>
  </bookViews>
  <sheets>
    <sheet name="SWOT" sheetId="1" r:id="rId1"/>
    <sheet name="Objetivos" sheetId="2" r:id="rId2"/>
    <sheet name="GUT" sheetId="3" r:id="rId3"/>
    <sheet name="5W3H" sheetId="4" r:id="rId4"/>
    <sheet name="BSC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3" l="1"/>
  <c r="E9" i="3"/>
  <c r="E10" i="3"/>
  <c r="E7" i="3"/>
  <c r="E12" i="3"/>
  <c r="E4" i="3"/>
  <c r="E18" i="3"/>
  <c r="E13" i="3"/>
  <c r="E5" i="3"/>
  <c r="E15" i="3"/>
  <c r="E14" i="3"/>
  <c r="E11" i="3"/>
  <c r="E6" i="3"/>
  <c r="E16" i="3"/>
  <c r="E8" i="3"/>
  <c r="E3" i="3"/>
</calcChain>
</file>

<file path=xl/sharedStrings.xml><?xml version="1.0" encoding="utf-8"?>
<sst xmlns="http://schemas.openxmlformats.org/spreadsheetml/2006/main" count="340" uniqueCount="217">
  <si>
    <t xml:space="preserve">Forças </t>
  </si>
  <si>
    <t>Oportunidades</t>
  </si>
  <si>
    <t>Fatores Externos</t>
  </si>
  <si>
    <t>Tendências relacionadas às oportunidades</t>
  </si>
  <si>
    <t>Estratégia de Crescimento</t>
  </si>
  <si>
    <t>Segurança do produto</t>
  </si>
  <si>
    <r>
      <t xml:space="preserve">De acordo com a </t>
    </r>
    <r>
      <rPr>
        <i/>
        <sz val="13"/>
        <color theme="1"/>
        <rFont val="Bodoni MT"/>
        <family val="1"/>
      </rPr>
      <t>Foundation for Traffic Safety</t>
    </r>
    <r>
      <rPr>
        <sz val="13"/>
        <color theme="1"/>
        <rFont val="Bodoni MT"/>
        <family val="1"/>
      </rPr>
      <t>, equipamentos de assistência à condução podem salvar 250.000 vidas no trânsito até 2053</t>
    </r>
  </si>
  <si>
    <t>Tecnologia</t>
  </si>
  <si>
    <t>Utilização crescente a partir do ano de 2021 de sistemas baseados em resolução avançada de problemas (Janiesch; Zschech e Heinrich, 2021)</t>
  </si>
  <si>
    <t>Aplicar em maior escala a capa de assento IoT, a qual coleta e visualiza os níveis estimados de sonolência dos motoristas, emitindo alerta na central do veículo (já utilizado na unidade de Kariya - Japão)</t>
  </si>
  <si>
    <t xml:space="preserve">Fatores Micro Ambientais </t>
  </si>
  <si>
    <t>Clientes</t>
  </si>
  <si>
    <t>Conforto</t>
  </si>
  <si>
    <r>
      <t xml:space="preserve">Em 2022, a revista </t>
    </r>
    <r>
      <rPr>
        <i/>
        <sz val="13"/>
        <color theme="1"/>
        <rFont val="Bodoni MT"/>
        <family val="1"/>
      </rPr>
      <t xml:space="preserve">Automotive Business </t>
    </r>
    <r>
      <rPr>
        <sz val="13"/>
        <color theme="1"/>
        <rFont val="Bodoni MT"/>
        <family val="1"/>
      </rPr>
      <t>ressaltou a importância da ergonômia nos assentos automotivos, para evitar dores e perda de controle dos pedais</t>
    </r>
  </si>
  <si>
    <t>Uso de procedimentos lógicos para criar sistemas cada vez mais inteligentes (Russell  e Norvig, 2021)</t>
  </si>
  <si>
    <r>
      <t>Investir nos assentos do tipo</t>
    </r>
    <r>
      <rPr>
        <i/>
        <sz val="13"/>
        <color theme="1"/>
        <rFont val="Bodoni MT"/>
        <family val="1"/>
      </rPr>
      <t xml:space="preserve"> Power Long Slide, </t>
    </r>
    <r>
      <rPr>
        <sz val="13"/>
        <color theme="1"/>
        <rFont val="Bodoni MT"/>
        <family val="1"/>
      </rPr>
      <t>com design antivibração, com finções de relaxamento e facilmente ajustável</t>
    </r>
  </si>
  <si>
    <t>Fornecedores</t>
  </si>
  <si>
    <t>Produção Puxada</t>
  </si>
  <si>
    <t>Segundo a Anfavea, a venda de veículos no Brasil aumentou 16,3% no primeiro semestre de 2023 quando comparadas ao mesmo período do ano anterior</t>
  </si>
  <si>
    <t xml:space="preserve">Economia </t>
  </si>
  <si>
    <t>Projeção de maximização da demanda por veículos automotivos em 5% - Anfavea (2023)</t>
  </si>
  <si>
    <t>Produzir o que o cliente precisa, na quantidade correta e no prazo solicitado, mantendo a técnica Heijunka e evitando a formação de estoques</t>
  </si>
  <si>
    <t>Concorrentes</t>
  </si>
  <si>
    <t>Proximidade em relação ao cliente</t>
  </si>
  <si>
    <t>A revista Automotive Business, no ano de 2023, verificou por meio de um estudo que a produção nacional supera gargalos logísticos</t>
  </si>
  <si>
    <r>
      <t xml:space="preserve">Menor </t>
    </r>
    <r>
      <rPr>
        <i/>
        <sz val="13"/>
        <color theme="1"/>
        <rFont val="Bodoni MT"/>
        <family val="1"/>
      </rPr>
      <t>lead time</t>
    </r>
    <r>
      <rPr>
        <sz val="13"/>
        <color theme="1"/>
        <rFont val="Bodoni MT"/>
        <family val="1"/>
      </rPr>
      <t xml:space="preserve"> de produção e modelos de produção puxada - Automotive Business (2023)</t>
    </r>
  </si>
  <si>
    <t>Priorizar vendas para a Toyota do Brasil, dado que os produtos que geram mais retorno são aqueles vendidos para a empresa automobilística</t>
  </si>
  <si>
    <t>Fatores Macro Ambientais</t>
  </si>
  <si>
    <t>Ameaças</t>
  </si>
  <si>
    <t>Tendências relacionadas às ameaças</t>
  </si>
  <si>
    <t>Estratégia de Enfrentamento</t>
  </si>
  <si>
    <t>Política</t>
  </si>
  <si>
    <r>
      <rPr>
        <sz val="13"/>
        <color rgb="FF000000"/>
        <rFont val="Bodoni MT"/>
      </rPr>
      <t xml:space="preserve">Em 2023, a Emoresa Lear fortalece o uso do INTU </t>
    </r>
    <r>
      <rPr>
        <i/>
        <sz val="13"/>
        <color rgb="FF000000"/>
        <rFont val="Bodoni MT"/>
      </rPr>
      <t xml:space="preserve">Safety, </t>
    </r>
    <r>
      <rPr>
        <sz val="13"/>
        <color rgb="FF000000"/>
        <rFont val="Bodoni MT"/>
      </rPr>
      <t>sistema acoplado aos assentos e capaz de detectar quando o condutor está distraído, aplicando automaticamente contramedidas para mitigar acidentes</t>
    </r>
  </si>
  <si>
    <t>Crescente uso de métodos que fazem o uso da apredizagem automática com capacidade cognitiva semelhante à humana (Shrestha et al. 2021)</t>
  </si>
  <si>
    <t>Maximizar a conectividade das capas de assento IoT por meio do Deep Learning e uso de redes neurais</t>
  </si>
  <si>
    <t>No ano de 2023, a Empresa Adient passou a priorizar processos de codesenvolvimento com parceiros para fabricar as estruturas dos assentos, a fim de garantir maiores níveis de ergonômia e adaptação às demandas do cliente</t>
  </si>
  <si>
    <t>Concorrentes e Fornecedores</t>
  </si>
  <si>
    <t>Priorizar o envolvimento de todos os elos da cadeia produtiva para gerar valor compatilhado - Capitalismo de Stakeholders (ABNT PR 2030; 2022)</t>
  </si>
  <si>
    <t>Priorizar a realização de estudos de ergonomia para aplicar no processo de fabricação dos assentos, considerando estabelecer projetos colaborativos com a empresa Aisin para garantir que as peças fabricadas pelo parceiro favoreçam estruturas mais ergonômicas para os assentos</t>
  </si>
  <si>
    <t>De acordo com a Anfavea, a falta de semicondutores deve afetar o setor automotivo até o início de 2024</t>
  </si>
  <si>
    <t>Pandemia de Covid-19 afetou a oferta de semicondutores, ocasionando uma baixa de 4,9% da capacidade produtiva das empresas - Anfavea (2023)</t>
  </si>
  <si>
    <t>Atualizar diariamente as planilhas de controle de pedidos para antecipar as solicitações de semicondutores aos parceiros, evitando que os módulos produtivos que envolvem conectividade sejam prejudicados</t>
  </si>
  <si>
    <t>Segundo revista Automotive Business, Elon Musk começou a densenvolver em merço de 2023 o sistema de fabricação unboxed, envolvendo em uma única grande estrutura as seções dianteira e traseira com a parte inferior da carroceria central, reduzindo a necessidade de sistemistas</t>
  </si>
  <si>
    <t>Tecnologia e Clientes</t>
  </si>
  <si>
    <t>Uso de tecnologias que se adaptem às necessidades produtivas internas e às demandas individuais dos usuários (Fischer et al. 2021)</t>
  </si>
  <si>
    <r>
      <t xml:space="preserve">Expandir o ramo de atuação para clientes de Indaiatuba, a fim de minimizar a dependência de um comprador específico, aumentando o </t>
    </r>
    <r>
      <rPr>
        <i/>
        <sz val="13"/>
        <color theme="1"/>
        <rFont val="Bodoni MT"/>
        <family val="1"/>
      </rPr>
      <t>market share</t>
    </r>
  </si>
  <si>
    <t>Fraquezas</t>
  </si>
  <si>
    <t>Estratégia de Melhoria</t>
  </si>
  <si>
    <t>Inovação</t>
  </si>
  <si>
    <r>
      <t xml:space="preserve">Aperfeiçoar a conectividade do simulador </t>
    </r>
    <r>
      <rPr>
        <i/>
        <sz val="13"/>
        <color theme="1"/>
        <rFont val="Bodoni MT"/>
        <family val="1"/>
      </rPr>
      <t xml:space="preserve">cockpit </t>
    </r>
    <r>
      <rPr>
        <sz val="13"/>
        <color theme="1"/>
        <rFont val="Bodoni MT"/>
        <family val="1"/>
      </rPr>
      <t>para mensurar a estabilidade da frequência cardíaca dos condutores e evitar acidentes de trânsito</t>
    </r>
  </si>
  <si>
    <t>Preço</t>
  </si>
  <si>
    <r>
      <t xml:space="preserve">Em 2022, a revista </t>
    </r>
    <r>
      <rPr>
        <i/>
        <sz val="13"/>
        <color theme="1"/>
        <rFont val="Bodoni MT"/>
        <family val="1"/>
      </rPr>
      <t xml:space="preserve">Automotive Business </t>
    </r>
    <r>
      <rPr>
        <sz val="13"/>
        <color theme="1"/>
        <rFont val="Bodoni MT"/>
        <family val="1"/>
      </rPr>
      <t>ressaltou a importância da ergonomia nos assentos automotivos, para evitar dores e perda de controle dos pedais</t>
    </r>
  </si>
  <si>
    <r>
      <t>Adaptar o projeto</t>
    </r>
    <r>
      <rPr>
        <i/>
        <sz val="13"/>
        <color theme="1"/>
        <rFont val="Bodoni MT"/>
        <family val="1"/>
      </rPr>
      <t xml:space="preserve"> Power Long Slide</t>
    </r>
    <r>
      <rPr>
        <sz val="13"/>
        <color theme="1"/>
        <rFont val="Bodoni MT"/>
        <family val="1"/>
      </rPr>
      <t xml:space="preserve"> para a planta brasileira da Toyota Boshoku, disseminando os novos paradigmas de conforto a menos custos para o modelos vendidos no Brasil</t>
    </r>
  </si>
  <si>
    <t xml:space="preserve">Pouco estoque de segurança </t>
  </si>
  <si>
    <t>Projeção de maximização da demanda por veículos automotivos em 5%- Anfavea (2023)</t>
  </si>
  <si>
    <t>Acompanhar diariamente as tendências de mercado para evitar atrasos na entrega dos pedidos, mantendo os estoques de segurança nos níveis aceitáveis de acordo com o padrão organizacional e fazer o gerenciamento de estoques por meio da Curva ABC</t>
  </si>
  <si>
    <t>Baixa diversidade de clientes</t>
  </si>
  <si>
    <t>Aperfeiçoar o gerenciamento de portifólios por meio da análise BCG, além de melhorar a realização dos estudos de viabilidade de produtos potenciais e do retorno financeiro esperado pela implementação das melhorias</t>
  </si>
  <si>
    <t>Estratégia de Defesa</t>
  </si>
  <si>
    <r>
      <t xml:space="preserve">Em 2023, a Empresa Lear fortalece o uso do INTU </t>
    </r>
    <r>
      <rPr>
        <i/>
        <sz val="13"/>
        <color theme="1"/>
        <rFont val="Bodoni MT"/>
        <family val="1"/>
      </rPr>
      <t xml:space="preserve">Safety, </t>
    </r>
    <r>
      <rPr>
        <sz val="13"/>
        <color theme="1"/>
        <rFont val="Bodoni MT"/>
        <family val="1"/>
      </rPr>
      <t>sistema acoplado aos assentos e capaz de detectar quando o condutor está distraído, aplicando automaticamente contramedidas para mitigar acidentes</t>
    </r>
  </si>
  <si>
    <t>Crescente uso de métodos que fazem o uso da aprendizagem automática com capacidade cognitiva semelhante à humana (Shrestha et al. 2021)</t>
  </si>
  <si>
    <t xml:space="preserve">Criar um projeto que conecte a capa de assento IoT com sistemas automatizados de frenagem </t>
  </si>
  <si>
    <t>No ano de 2023, a Empresa Adient passou a priorizar processos de Co desenvolvimento com parceiros para fabricar as estruturas dos assentos, a fim de garantir maiores níveis de ergonomia e adaptação às demandas do cliente</t>
  </si>
  <si>
    <r>
      <t xml:space="preserve">Priorizar o envolvimento de todos os elos da cadeia produtiva para gerar valor compartilhado - Capitalismo de </t>
    </r>
    <r>
      <rPr>
        <i/>
        <sz val="13"/>
        <color theme="1"/>
        <rFont val="Bodoni MT"/>
        <family val="1"/>
      </rPr>
      <t xml:space="preserve">Stakeholders </t>
    </r>
    <r>
      <rPr>
        <sz val="13"/>
        <color theme="1"/>
        <rFont val="Bodoni MT"/>
        <family val="1"/>
      </rPr>
      <t>(ABNT PR 2030; 2022)</t>
    </r>
  </si>
  <si>
    <t>Continuar com o acordo firmado em 2022 com a empresa Aisin, o qual documenta que os direitos comerciais para fabricação das peças do mecanismo da estrutura dos assentos serão da Toyota Boshoku</t>
  </si>
  <si>
    <t>Pouco estoque de segurança</t>
  </si>
  <si>
    <t>Estreitar a comunicação com a Toyota Boshoku da China, a fim de a filial brasileira ser prioridade para o envio de semicondutores</t>
  </si>
  <si>
    <t>Segundo revista Automotive Business, Elon Musk começou a desenvolver em março de 2023 o sistema de fabricação unboxed, envolvendo em uma única grande estrutura as seções dianteira e traseira com a parte inferior da carroceria central, reduzindo a necessidade de sistemistas</t>
  </si>
  <si>
    <t>Analisar os modelos e estruturas de assentos mais comuns e adaptáveis às potenciais demandas de empresas automobilísticas diversas, com o objetivo de adaptar os projetos atuais para não depender apenas de uma empresa específica e sobreviver no mercado a longo prazo</t>
  </si>
  <si>
    <t>Objetivos</t>
  </si>
  <si>
    <t>Até o primeiro semestre de 2025, utilizar a capa de assento IoT na filial da Toyota Boshoku em Sorocaba - SP</t>
  </si>
  <si>
    <t>Em 2026, ser capaz de maximizar a conectividade dos módulos automotivos, com foco no uso das redes neurais</t>
  </si>
  <si>
    <r>
      <t>Investir nos assentos do tipo</t>
    </r>
    <r>
      <rPr>
        <i/>
        <sz val="13"/>
        <color theme="1"/>
        <rFont val="Bodoni MT"/>
        <family val="1"/>
      </rPr>
      <t xml:space="preserve"> Power Long Slide, </t>
    </r>
    <r>
      <rPr>
        <sz val="13"/>
        <color theme="1"/>
        <rFont val="Bodoni MT"/>
        <family val="1"/>
      </rPr>
      <t>com design antivibração, com fincões de relaxamento e facilmente ajustável</t>
    </r>
  </si>
  <si>
    <r>
      <t xml:space="preserve">Até janeiro de 2025, aumentar em 10% o uso dos assentos </t>
    </r>
    <r>
      <rPr>
        <i/>
        <sz val="13"/>
        <color theme="1"/>
        <rFont val="Bodoni MT"/>
        <family val="1"/>
      </rPr>
      <t>Power Long Slide</t>
    </r>
    <r>
      <rPr>
        <sz val="13"/>
        <color theme="1"/>
        <rFont val="Bodoni MT"/>
        <family val="1"/>
      </rPr>
      <t xml:space="preserve"> produzidos no Brasil</t>
    </r>
  </si>
  <si>
    <t>Até o final do segundo semestre de 2024, estreitar as relações com a empresa Aisin para favorecer o aperfeiçoamento do processo de montagem da estrutura metálica presente no interior dos assentos</t>
  </si>
  <si>
    <t>No ano de 2024, investir 8% a mais em relação a 2023 na capacitação dos colaboradores em vistas ao modelo Toyota de Produção</t>
  </si>
  <si>
    <t xml:space="preserve">Até o primeiro trimestre de 2025, aumentar os estoques de semicondutores de forma que sejam coerentes com o consumo de 2 a 6 meses </t>
  </si>
  <si>
    <t>Até o início do segundo semestre de 2024, realizar pesquisas de satisfação com a Toyota do Brasil, a fim de analisar se os critério ganhadores de pedidos estão sendo devidamente atendidos</t>
  </si>
  <si>
    <t>Até o segundo semestre de 2026, criar projetos de adaptação do projeto atual dos assentos automotivos para um modelo que seja aplicável aos carros de outras marcas emergentes no mercado automobilístico</t>
  </si>
  <si>
    <r>
      <t xml:space="preserve">Maximizar a conectividade das capas de assento IoT por meio do </t>
    </r>
    <r>
      <rPr>
        <i/>
        <sz val="13"/>
        <color theme="1"/>
        <rFont val="Bodoni MT"/>
        <family val="1"/>
      </rPr>
      <t>Deep Learning</t>
    </r>
    <r>
      <rPr>
        <sz val="13"/>
        <color theme="1"/>
        <rFont val="Bodoni MT"/>
        <family val="1"/>
      </rPr>
      <t xml:space="preserve"> e uso de redes neurais</t>
    </r>
  </si>
  <si>
    <r>
      <t xml:space="preserve">Até 2030, estabelecer base de sistematização completa dos métodos de trabalho, com uso das técnicas de </t>
    </r>
    <r>
      <rPr>
        <i/>
        <sz val="13"/>
        <color theme="1"/>
        <rFont val="Bodoni MT"/>
        <family val="1"/>
      </rPr>
      <t>Deep Learning</t>
    </r>
    <r>
      <rPr>
        <sz val="13"/>
        <color theme="1"/>
        <rFont val="Bodoni MT"/>
        <family val="1"/>
      </rPr>
      <t xml:space="preserve"> e conectividade total com uso das redes neurais</t>
    </r>
  </si>
  <si>
    <r>
      <t xml:space="preserve">Até dezembro de 2025, investir 8% no aumento da conectividade por meio das redes </t>
    </r>
    <r>
      <rPr>
        <i/>
        <sz val="13"/>
        <color theme="1"/>
        <rFont val="Bodoni MT"/>
        <family val="1"/>
      </rPr>
      <t>long short-term memory</t>
    </r>
    <r>
      <rPr>
        <sz val="13"/>
        <color theme="1"/>
        <rFont val="Bodoni MT"/>
        <family val="1"/>
      </rPr>
      <t xml:space="preserve"> (LSTM)</t>
    </r>
  </si>
  <si>
    <t>Até o segundo semestre de 2025, instituir a coparticipação de projetos na Toyota Boshoku do Brasil, incluindo os fornecedores na elaboração de projetos de melhoria e destinando 20% dos recursos à execução de projetos colaborativos</t>
  </si>
  <si>
    <t>Até dezembro de 2026, adaptar o projeto japonês dos assentos Power Long Side para ser fabricado na planta da Toyota Boshoku em Sorocaba-SP</t>
  </si>
  <si>
    <t>Até janeiro de 2024, aperfeiçoar o módulo de gerenciamento de estoque, posicionando os semicondutores como um dos componentes prioritários na gestão de materiais</t>
  </si>
  <si>
    <t>Em 2025, capacitar uma equipe de colaboradores para realizarem as análises de mercado e anteverem tendências de faltar materiais, favorecendo o gerenciamento de materiais</t>
  </si>
  <si>
    <t>Até 2030, estabelecer um novo espaço de negócios, fabricando componentes automotivos para o modelo Corolla Sedan e Hilux</t>
  </si>
  <si>
    <r>
      <t xml:space="preserve">Até 2030, adquirir conhecimentos e capacidades necessárias para se tornar um “Criador de Espaço Interno” , incluindo a análise BCG, </t>
    </r>
    <r>
      <rPr>
        <i/>
        <sz val="13"/>
        <color theme="1"/>
        <rFont val="Bodoni MT"/>
        <family val="1"/>
      </rPr>
      <t>Balanced Scorecard</t>
    </r>
    <r>
      <rPr>
        <sz val="13"/>
        <color theme="1"/>
        <rFont val="Bodoni MT"/>
        <family val="1"/>
      </rPr>
      <t xml:space="preserve">, Pert CPM e técnicas de </t>
    </r>
    <r>
      <rPr>
        <i/>
        <sz val="13"/>
        <color theme="1"/>
        <rFont val="Bodoni MT"/>
        <family val="1"/>
      </rPr>
      <t>Benchmarking</t>
    </r>
    <r>
      <rPr>
        <sz val="13"/>
        <color theme="1"/>
        <rFont val="Bodoni MT"/>
        <family val="1"/>
      </rPr>
      <t>.</t>
    </r>
  </si>
  <si>
    <t>Matriz GUT</t>
  </si>
  <si>
    <t>Objetivo</t>
  </si>
  <si>
    <t>Gravidade</t>
  </si>
  <si>
    <t xml:space="preserve">Urgência </t>
  </si>
  <si>
    <t>Tendência</t>
  </si>
  <si>
    <t>Pontuação</t>
  </si>
  <si>
    <t>5W3H</t>
  </si>
  <si>
    <t>What</t>
  </si>
  <si>
    <t>Why</t>
  </si>
  <si>
    <t xml:space="preserve">Where </t>
  </si>
  <si>
    <t xml:space="preserve">Who </t>
  </si>
  <si>
    <t>When</t>
  </si>
  <si>
    <t>How</t>
  </si>
  <si>
    <t>How Much</t>
  </si>
  <si>
    <t>How to measure</t>
  </si>
  <si>
    <t>Aperfeiçoar o módulo de gerenciamento de estoque, posicionando os semicondutores como um dos componentes prioritários na gestão de materiais</t>
  </si>
  <si>
    <t>Garantir que não faltem semicondutores na produção</t>
  </si>
  <si>
    <t>Toyota Boshoku Sorocaba</t>
  </si>
  <si>
    <t>Gestor de Supply Chain Management</t>
  </si>
  <si>
    <t>Novembro de 2023 à Janeiro de 2024</t>
  </si>
  <si>
    <t>Curva ABC</t>
  </si>
  <si>
    <t>-</t>
  </si>
  <si>
    <t>Indicador de parada de produção por falta de semicondutores</t>
  </si>
  <si>
    <t xml:space="preserve">Capacitar uma equipe de colaboradores para realizarem as análises de mercado </t>
  </si>
  <si>
    <t>Antever tendências de faltar materiais</t>
  </si>
  <si>
    <t>Marketing</t>
  </si>
  <si>
    <t>Treinamentos de análise de mercado e concorrência</t>
  </si>
  <si>
    <t>Indicador de parada de produção por falta de matéria-prima</t>
  </si>
  <si>
    <t xml:space="preserve">Estreitar as relações com a empresa Aisin </t>
  </si>
  <si>
    <t xml:space="preserve"> Aperfeiçoar o processo de montagem da estrutura metálica presente no interior dos assentos</t>
  </si>
  <si>
    <t>Compras</t>
  </si>
  <si>
    <t>Janeiro à Novembro de 2024</t>
  </si>
  <si>
    <t>Joint Venture</t>
  </si>
  <si>
    <t>Índice de satisfação dos clientes com os produtos; Índice de não conformidades no processo de montagem dos assentos; Tempo do processo de montagem de assentos</t>
  </si>
  <si>
    <r>
      <t xml:space="preserve">Aumentar em 10% o uso dos assentos </t>
    </r>
    <r>
      <rPr>
        <i/>
        <sz val="13"/>
        <color theme="1"/>
        <rFont val="Bodoni MT"/>
        <family val="1"/>
      </rPr>
      <t>Power Long Slide</t>
    </r>
    <r>
      <rPr>
        <sz val="13"/>
        <color theme="1"/>
        <rFont val="Bodoni MT"/>
        <family val="1"/>
      </rPr>
      <t xml:space="preserve"> produzidos no Brasil</t>
    </r>
  </si>
  <si>
    <t>Melhorar a ergonomia dos assentos e a satisfação dos consumidores finais</t>
  </si>
  <si>
    <t>Engenharia de Projetos; Engenharia de Processos</t>
  </si>
  <si>
    <t>Julho de 2024 à Janeiro de 2025</t>
  </si>
  <si>
    <r>
      <t xml:space="preserve">Estabelecer uma linha de montagem especial para os assentos </t>
    </r>
    <r>
      <rPr>
        <i/>
        <sz val="13"/>
        <color theme="1"/>
        <rFont val="Bodoni MT"/>
        <family val="1"/>
      </rPr>
      <t>Power Long Slide</t>
    </r>
  </si>
  <si>
    <r>
      <t xml:space="preserve">Número de assentos </t>
    </r>
    <r>
      <rPr>
        <i/>
        <sz val="13"/>
        <color theme="1"/>
        <rFont val="Bodoni MT"/>
        <family val="1"/>
      </rPr>
      <t>Power Long Slide</t>
    </r>
    <r>
      <rPr>
        <sz val="13"/>
        <color theme="1"/>
        <rFont val="Bodoni MT"/>
        <family val="1"/>
      </rPr>
      <t xml:space="preserve"> utilizados na produção; Índice de satisfação dos consumidores finais</t>
    </r>
  </si>
  <si>
    <t>Realizar pesquisas de satisfação com a Toyota do Brasil</t>
  </si>
  <si>
    <t>Analisar se os critérios ganhadores de pedidos estão sendo devidamente atendidos</t>
  </si>
  <si>
    <t>Janeiro de 2024 à Junho de 2024</t>
  </si>
  <si>
    <t>CRM e CSAT</t>
  </si>
  <si>
    <t>Índice de satisfação dos clientes com os produtos; Número de pedidos; Número de reclamações</t>
  </si>
  <si>
    <t>Maximizar a conectividade dos módulos automotivos, com foco no uso das redes neurais</t>
  </si>
  <si>
    <t>Aumentar o nível de tecnologia dos produtos e a satisfação dos clientes</t>
  </si>
  <si>
    <t>Engenharia de Projetos; Tecnologia da Informação</t>
  </si>
  <si>
    <t>Inserir o uso de redes neurais nos projetos de produtos</t>
  </si>
  <si>
    <t>Testes de conectividades dos módulos automotivos</t>
  </si>
  <si>
    <t xml:space="preserve">Adaptar o projeto japonês dos assentos Power Long Side </t>
  </si>
  <si>
    <t>Para iniciar a fabricação na Planta Toyota Boshoku Sorocaba</t>
  </si>
  <si>
    <t>Engenharia de Projetos</t>
  </si>
  <si>
    <t>Janeiro de 2025 à Dezembro de 2026</t>
  </si>
  <si>
    <t>Adaptar o projeto à realidade da indústria brasileira; Treinar os colaboradores para a montagem dos novos assentos</t>
  </si>
  <si>
    <t>Testes de qualidade dos assentos; Índice de capacidade de produção dos assentos</t>
  </si>
  <si>
    <t xml:space="preserve">Aumentar os estoques de semicondutores de forma que sejam coerentes com o consumo de 2 a 6 meses </t>
  </si>
  <si>
    <t>Julho de 2024 à Março de 2025</t>
  </si>
  <si>
    <t>Nível de estoque de semicondutores; Indicador de parada de produção por falta de semicondutores</t>
  </si>
  <si>
    <t>Instituir a coparticipação de projetos na Toyota Boshoku do Brasil</t>
  </si>
  <si>
    <t>Aumentar a colaboração na execução de projetos e incluir os fornecedores na elaboração de projetos de melhoria</t>
  </si>
  <si>
    <t>Alta Direção; Master Black Belt; Compras</t>
  </si>
  <si>
    <t>Janeiro de 2025</t>
  </si>
  <si>
    <t>Destinando 20% dos recursos e estabelecendo uma relação de coparticipação com fornecedores</t>
  </si>
  <si>
    <t>Número de projetos de melhoria com participação de fornecedores</t>
  </si>
  <si>
    <r>
      <t xml:space="preserve">Aumentar a conectividade por meio das redes </t>
    </r>
    <r>
      <rPr>
        <i/>
        <sz val="13"/>
        <color theme="1"/>
        <rFont val="Bodoni MT"/>
        <family val="1"/>
      </rPr>
      <t>long short-term memory</t>
    </r>
    <r>
      <rPr>
        <sz val="13"/>
        <color theme="1"/>
        <rFont val="Bodoni MT"/>
        <family val="1"/>
      </rPr>
      <t xml:space="preserve"> (LSTM)</t>
    </r>
  </si>
  <si>
    <t>Julho à Dezembro de 2025</t>
  </si>
  <si>
    <t>Investindo 8% dos recursos para execução de projetos focados em LSTM</t>
  </si>
  <si>
    <t>Fabricar componentes automotivos para o modelo Corolla Sedan e Hilux</t>
  </si>
  <si>
    <t>Estabelecer um novo espaço de negócio com clientes de Indaiatuba</t>
  </si>
  <si>
    <t>Compras; Engenharia de Processo</t>
  </si>
  <si>
    <t>Até 2030</t>
  </si>
  <si>
    <t>Estreitando relações com os clientes; Adaptar a linha e treinar colaboradores para a produção desses componentes</t>
  </si>
  <si>
    <t>Número de pedidos; Índice de produção desses componentes</t>
  </si>
  <si>
    <t xml:space="preserve">Adquirir conhecimentos e capacidades necessárias para se tornar um “Criador de Espaço Interno” </t>
  </si>
  <si>
    <t>Aperfeiçoar o gerenciamento de portifólios, melhorar a realização dos estudos de viabilidade de produtos potenciais e do retorno financeiro esperado pela implementação das melhorias</t>
  </si>
  <si>
    <t>Alta Direção; Marketing; Compras; Financeiro</t>
  </si>
  <si>
    <t>Análise BCG; Balanced Scorecard; Pert CPM; Técnicas de Benchmarking</t>
  </si>
  <si>
    <t>Análise da satisfação dos clientes com o portifólio; Índice de lucro gerado pelos produtos em portifólio; Índice de projetos de novos produtos; Análise da perfomance da empresa em relação aos concorrentes; Eficácia de projetos de melhoria implementados</t>
  </si>
  <si>
    <t>Capacitação dos colaboradores no Modelo Toyota de Produção</t>
  </si>
  <si>
    <t>Garantir que os colaboradores possuam conhecimento no STP e aplicar as ferramentas do sistema nos processos</t>
  </si>
  <si>
    <t>Recursos Humanos; Engenharia de Processo</t>
  </si>
  <si>
    <t>Investindo 8% a mais do que em 2023, em treinamentos dos colaboradores no Modelo Toyota de Produção</t>
  </si>
  <si>
    <t>Índice de participação dos colaboradores nos treinamentos; Uso das ferramentas do STP nos processos</t>
  </si>
  <si>
    <t>Estabelecer base de sistematização completa dos métodos de trabalho</t>
  </si>
  <si>
    <t>Uso das técnicas de Deep Learning e conectividade total com uso das redes neurais</t>
  </si>
  <si>
    <t>Número de projetos com o uso de Deep Learning; Número de projetos com o uso de Redes Neurais</t>
  </si>
  <si>
    <t>Balanced Scorecard</t>
  </si>
  <si>
    <t xml:space="preserve"> </t>
  </si>
  <si>
    <t>Perspectiva Financeira</t>
  </si>
  <si>
    <t>Perspectiva de Processos Internos</t>
  </si>
  <si>
    <t>Perspectiva de Aprendizado e Crescimento</t>
  </si>
  <si>
    <t>Perspectiva de Clientes</t>
  </si>
  <si>
    <t>Aumentar a rentabilidade dos ativos</t>
  </si>
  <si>
    <t>Adaptar o processo de montagem para possibilitar a conectividade exigida pela capa de assentos IoT</t>
  </si>
  <si>
    <t>Trazer colaboradores da Toyota Boshoku da planta de Kariya (Japão) para compartilhar conhecimento e instruções de fabricação para os funcionários brasileiros</t>
  </si>
  <si>
    <t>Aumentar o valor da marca no ponto de vista dos clientes</t>
  </si>
  <si>
    <t>Indicador</t>
  </si>
  <si>
    <t>Retorno sobre investimento (ROI)</t>
  </si>
  <si>
    <t>Percentual de novas ideias implantadas na linha de montagem</t>
  </si>
  <si>
    <t xml:space="preserve">Horas de treinamento </t>
  </si>
  <si>
    <t xml:space="preserve">Índice de recompra </t>
  </si>
  <si>
    <t>Metas</t>
  </si>
  <si>
    <t xml:space="preserve">A partir de 2025, obter 10% de retorno sobre investimento;
Maximizar os investimentos na capa IoT em 8% </t>
  </si>
  <si>
    <t>Aumentar em 15% a instalação das redes neurais no processo de montagem dos assentos</t>
  </si>
  <si>
    <t>Capacitar 100% da equipe destinada a instalação da capa de assento IoT;
Oferecer 4 horas de capacitação semanal para a equipe delegada à conectividade da capa de assento IoT</t>
  </si>
  <si>
    <t>Aumentar o nível da confiança em relação à marca em 10%</t>
  </si>
  <si>
    <t>Iniciativas</t>
  </si>
  <si>
    <t xml:space="preserve">Incentivar financeiramente o uso de novos recursos tecnológicos;
Fazer um rateio mais eficiente dos ativos, direcionando maior percentual de investimentos para a adaptação das tecnologias
</t>
  </si>
  <si>
    <t>Disponibilizar uma célula produtiva própria, localizada próxima ao processo de montagem, para facilitar a ligação dos dispositivos associados às redes neurais na capa dos assentos;
Adaptar a área destinada à realização de testes para verificar se as vibrações e sons emitidos pela capa IoT estão conforme os padrões estabelecidos</t>
  </si>
  <si>
    <t>Mapear o perfil e as habilidades técnicas dos operadores e selecioná-los de acordo com os requisitos necessários para a instalação da capa de assento IoT;
Formar uma equipe específica para montar e  instalar a capa de assento IoT;
Oferecer treinamentos ministrados pelos colaboradores de Kariya para os funcionários brasileiros;
Proporcionar 4 treinamentos semanais de 1 hora cada para a equipe destinada à instalação da capa de assento IoT</t>
  </si>
  <si>
    <t>Propagar por meio de publicidade em canais televisivos e nos meios digitais, as vantagens trazidas pelo uso da capa de assentos IoT;
Efetuar pesquisas para mapear se o valor percebido pelos consumidores sofreu acréscimo;
Analisar 1 vez por semana os índices de recompra</t>
  </si>
  <si>
    <t>Até o segundo semestre de 2026, criar projetos de adaptação do projeto atual dos assentos automotivos para um modelo aplicável aos carros de outras marcas emergentes no mercado automobilístico</t>
  </si>
  <si>
    <t>Diversificar a origem das receitas</t>
  </si>
  <si>
    <r>
      <rPr>
        <sz val="13"/>
        <color rgb="FF000000"/>
        <rFont val="Bodoni MT"/>
      </rPr>
      <t xml:space="preserve">Diferenciar produtos com base no </t>
    </r>
    <r>
      <rPr>
        <i/>
        <sz val="13"/>
        <color rgb="FF000000"/>
        <rFont val="Bodoni MT"/>
      </rPr>
      <t xml:space="preserve">benchmarking </t>
    </r>
    <r>
      <rPr>
        <sz val="13"/>
        <color rgb="FF000000"/>
        <rFont val="Bodoni MT"/>
      </rPr>
      <t>da concorrência</t>
    </r>
  </si>
  <si>
    <t>Desenvolver a liderança atual e preparar a liderança futura</t>
  </si>
  <si>
    <t>Expandir o mercado consumidor</t>
  </si>
  <si>
    <t>Distribuição percentual da receita por família de produto</t>
  </si>
  <si>
    <t>Número de novos projetos aprovados mensalmente</t>
  </si>
  <si>
    <t>Número de certificados adquiridos pelos líderes</t>
  </si>
  <si>
    <r>
      <rPr>
        <i/>
        <sz val="13"/>
        <color theme="1"/>
        <rFont val="Bodoni MT"/>
        <family val="1"/>
      </rPr>
      <t>Market share</t>
    </r>
    <r>
      <rPr>
        <sz val="13"/>
        <color theme="1"/>
        <rFont val="Bodoni MT"/>
        <family val="1"/>
      </rPr>
      <t xml:space="preserve"> organizacional</t>
    </r>
  </si>
  <si>
    <t>Ao final de 2027, 16% da recita anual deverá ser gerada a partir de novos projetos</t>
  </si>
  <si>
    <t>Aprovar, no mínimo, 5 novos projetos por ano na filial de Sorocaba</t>
  </si>
  <si>
    <t>Aplicar 1 treinamento de capacitação de líderes por mês</t>
  </si>
  <si>
    <t>Aumentar em 10% a rede de clientes</t>
  </si>
  <si>
    <r>
      <t xml:space="preserve">Direcionar investimentos para realização de novos projetos;
Incentivos financeiros para P&amp;D;
Incentivos financeiros para pesquisas de </t>
    </r>
    <r>
      <rPr>
        <i/>
        <sz val="13"/>
        <color theme="1"/>
        <rFont val="Bodoni MT"/>
        <family val="1"/>
      </rPr>
      <t>benchmarking</t>
    </r>
    <r>
      <rPr>
        <sz val="13"/>
        <color theme="1"/>
        <rFont val="Bodoni MT"/>
        <family val="1"/>
      </rPr>
      <t>;
Lançamento de novos produtos;
Recursos direcionados para adaptações de projetos vigentes</t>
    </r>
  </si>
  <si>
    <r>
      <t xml:space="preserve">Mapear processos internos;
Atualizar mensalmente o Mapa de Fluxo da Valor;
Criar desenhos de estado futuro dos processos internos 1 vez por mês;
Realizar círculos de controle da qualidade a cada 15 dias;
Incentivar projetos de melhoria incremental;
Incentivar projetos disruptivos;
Adaptar o </t>
    </r>
    <r>
      <rPr>
        <i/>
        <sz val="13"/>
        <color theme="1"/>
        <rFont val="Bodoni MT"/>
        <family val="1"/>
      </rPr>
      <t>layout</t>
    </r>
    <r>
      <rPr>
        <sz val="13"/>
        <color theme="1"/>
        <rFont val="Bodoni MT"/>
        <family val="1"/>
      </rPr>
      <t xml:space="preserve"> produtivo para aplicação dos novos projetos (maquinário e disposição dos equipamentos)</t>
    </r>
  </si>
  <si>
    <r>
      <t xml:space="preserve">Contratar uma equipe externa para promover treinamentos para os líderes;
Realizar 1 avaliação </t>
    </r>
    <r>
      <rPr>
        <i/>
        <sz val="13"/>
        <color theme="1"/>
        <rFont val="Bodoni MT"/>
        <family val="1"/>
      </rPr>
      <t xml:space="preserve">in loco </t>
    </r>
    <r>
      <rPr>
        <sz val="13"/>
        <color theme="1"/>
        <rFont val="Bodoni MT"/>
        <family val="1"/>
      </rPr>
      <t xml:space="preserve">a cada 15 dias para verificar a atuação dos líderes;
Incluir treinamentos de gerenciamento de projetos para os líderes;
Ensinar estratégias para que os líderes envolvam suas equipes nos projetos de melhoria;
Incentivar a liderança a promover meios estruturados para coletar as ideias e sugestões dos colaboradores;
Ressaltar o papel dos líderes para motivar os colaboradores;
Realizar treinamentos a cada 2 meses sobre técnicas de </t>
    </r>
    <r>
      <rPr>
        <i/>
        <sz val="13"/>
        <color theme="1"/>
        <rFont val="Bodoni MT"/>
        <family val="1"/>
      </rPr>
      <t>benchmarking</t>
    </r>
  </si>
  <si>
    <t>Criar projetos de diferenciação;
Mapear demandas pendentes do mercado;
Verificar critérios compradores de pedidos de clientes potenciais;
Antecipar-se aos cenários;
Fazer pesquisas de satisfação dos clientes acerca dos novos projetos colocados em prática;
Expandir as vendas para clientes estratégicos que não sejam a Toyota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</si>
</sst>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0" x14ac:knownFonts="1">
    <font>
      <sz val="11"/>
      <color theme="1"/>
      <name val="Calibri"/>
      <family val="2"/>
      <scheme val="minor"/>
    </font>
    <font>
      <b/>
      <sz val="13"/>
      <color theme="1"/>
      <name val="Bodoni MT"/>
      <family val="1"/>
    </font>
    <font>
      <sz val="13"/>
      <color theme="1"/>
      <name val="Bodoni MT"/>
      <family val="1"/>
    </font>
    <font>
      <i/>
      <sz val="13"/>
      <color theme="1"/>
      <name val="Bodoni MT"/>
      <family val="1"/>
    </font>
    <font>
      <b/>
      <sz val="14"/>
      <color theme="1"/>
      <name val="Bodoni MT"/>
      <family val="1"/>
    </font>
    <font>
      <sz val="14"/>
      <color theme="1"/>
      <name val="Bodoni MT"/>
      <family val="1"/>
    </font>
    <font>
      <b/>
      <sz val="15"/>
      <color theme="1"/>
      <name val="Bodoni MT"/>
      <family val="1"/>
    </font>
    <font>
      <sz val="13"/>
      <color rgb="FF000000"/>
      <name val="Bodoni MT"/>
    </font>
    <font>
      <i/>
      <sz val="13"/>
      <color rgb="FF000000"/>
      <name val="Bodoni MT"/>
    </font>
    <font>
      <sz val="13"/>
      <color rgb="FF000000"/>
      <name val="Bodoni MT"/>
      <family val="1"/>
    </font>
  </fonts>
  <fills count="10">
    <fill>
      <patternFill patternType="none"/>
    </fill>
    <fill>
      <patternFill patternType="gray125"/>
    </fill>
    <fill>
      <patternFill patternType="solid">
        <fgColor rgb="FFF5E5C7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A9DA7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FFFE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2C4A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2" fillId="7" borderId="2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 wrapText="1"/>
    </xf>
    <xf numFmtId="0" fontId="1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2" fillId="8" borderId="1" xfId="0" applyFont="1" applyFill="1" applyBorder="1"/>
    <xf numFmtId="0" fontId="5" fillId="5" borderId="0" xfId="0" applyFont="1" applyFill="1" applyAlignment="1">
      <alignment horizontal="center"/>
    </xf>
    <xf numFmtId="0" fontId="4" fillId="9" borderId="0" xfId="0" applyFont="1" applyFill="1"/>
    <xf numFmtId="0" fontId="2" fillId="8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1" fillId="8" borderId="6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1" fillId="6" borderId="1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9" fillId="0" borderId="1" xfId="0" applyFont="1" applyBorder="1" applyAlignment="1">
      <alignment wrapText="1"/>
    </xf>
    <xf numFmtId="0" fontId="7" fillId="0" borderId="1" xfId="0" applyFont="1" applyBorder="1" applyAlignment="1">
      <alignment vertical="center" wrapText="1"/>
    </xf>
    <xf numFmtId="0" fontId="2" fillId="3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6" fillId="9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2C4A6"/>
      <color rgb="FFCCFFCC"/>
      <color rgb="FFEFFF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600075</xdr:colOff>
      <xdr:row>1</xdr:row>
      <xdr:rowOff>485775</xdr:rowOff>
    </xdr:from>
    <xdr:to>
      <xdr:col>1</xdr:col>
      <xdr:colOff>1524000</xdr:colOff>
      <xdr:row>1</xdr:row>
      <xdr:rowOff>1190625</xdr:rowOff>
    </xdr:to>
    <xdr:sp macro="" textlink="">
      <xdr:nvSpPr>
        <xdr:cNvPr id="2" name="Seta: para a Direita 1">
          <a:extLst>
            <a:ext uri="{FF2B5EF4-FFF2-40B4-BE49-F238E27FC236}">
              <a16:creationId xmlns:a16="http://schemas.microsoft.com/office/drawing/2014/main" id="{23364699-05CF-5B56-3BCE-081638B3FA92}"/>
            </a:ext>
          </a:extLst>
        </xdr:cNvPr>
        <xdr:cNvSpPr/>
      </xdr:nvSpPr>
      <xdr:spPr>
        <a:xfrm>
          <a:off x="2619375" y="704850"/>
          <a:ext cx="923925" cy="704850"/>
        </a:xfrm>
        <a:prstGeom prst="rightArrow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600075</xdr:colOff>
      <xdr:row>2</xdr:row>
      <xdr:rowOff>485775</xdr:rowOff>
    </xdr:from>
    <xdr:to>
      <xdr:col>1</xdr:col>
      <xdr:colOff>1524000</xdr:colOff>
      <xdr:row>2</xdr:row>
      <xdr:rowOff>1190625</xdr:rowOff>
    </xdr:to>
    <xdr:sp macro="" textlink="">
      <xdr:nvSpPr>
        <xdr:cNvPr id="3" name="Seta: para a Direita 2">
          <a:extLst>
            <a:ext uri="{FF2B5EF4-FFF2-40B4-BE49-F238E27FC236}">
              <a16:creationId xmlns:a16="http://schemas.microsoft.com/office/drawing/2014/main" id="{EFD0A85E-6DE3-47A7-B7AC-D1756E98C6C2}"/>
            </a:ext>
          </a:extLst>
        </xdr:cNvPr>
        <xdr:cNvSpPr/>
      </xdr:nvSpPr>
      <xdr:spPr>
        <a:xfrm>
          <a:off x="2619375" y="704850"/>
          <a:ext cx="923925" cy="704850"/>
        </a:xfrm>
        <a:prstGeom prst="rightArrow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600075</xdr:colOff>
      <xdr:row>3</xdr:row>
      <xdr:rowOff>485775</xdr:rowOff>
    </xdr:from>
    <xdr:to>
      <xdr:col>1</xdr:col>
      <xdr:colOff>1524000</xdr:colOff>
      <xdr:row>3</xdr:row>
      <xdr:rowOff>1190625</xdr:rowOff>
    </xdr:to>
    <xdr:sp macro="" textlink="">
      <xdr:nvSpPr>
        <xdr:cNvPr id="4" name="Seta: para a Direita 3">
          <a:extLst>
            <a:ext uri="{FF2B5EF4-FFF2-40B4-BE49-F238E27FC236}">
              <a16:creationId xmlns:a16="http://schemas.microsoft.com/office/drawing/2014/main" id="{CCED62F9-C847-4A3B-9E83-A4A511D80587}"/>
            </a:ext>
          </a:extLst>
        </xdr:cNvPr>
        <xdr:cNvSpPr/>
      </xdr:nvSpPr>
      <xdr:spPr>
        <a:xfrm>
          <a:off x="2619375" y="704850"/>
          <a:ext cx="923925" cy="704850"/>
        </a:xfrm>
        <a:prstGeom prst="rightArrow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561975</xdr:colOff>
      <xdr:row>4</xdr:row>
      <xdr:rowOff>638175</xdr:rowOff>
    </xdr:from>
    <xdr:to>
      <xdr:col>1</xdr:col>
      <xdr:colOff>1485900</xdr:colOff>
      <xdr:row>4</xdr:row>
      <xdr:rowOff>1343025</xdr:rowOff>
    </xdr:to>
    <xdr:sp macro="" textlink="">
      <xdr:nvSpPr>
        <xdr:cNvPr id="5" name="Seta: para a Direita 4">
          <a:extLst>
            <a:ext uri="{FF2B5EF4-FFF2-40B4-BE49-F238E27FC236}">
              <a16:creationId xmlns:a16="http://schemas.microsoft.com/office/drawing/2014/main" id="{CD3A2D03-E2B8-4C09-8F48-ABF9DDA5F550}"/>
            </a:ext>
          </a:extLst>
        </xdr:cNvPr>
        <xdr:cNvSpPr/>
      </xdr:nvSpPr>
      <xdr:spPr>
        <a:xfrm>
          <a:off x="2581275" y="5676900"/>
          <a:ext cx="923925" cy="704850"/>
        </a:xfrm>
        <a:prstGeom prst="rightArrow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600075</xdr:colOff>
      <xdr:row>7</xdr:row>
      <xdr:rowOff>485775</xdr:rowOff>
    </xdr:from>
    <xdr:to>
      <xdr:col>1</xdr:col>
      <xdr:colOff>1524000</xdr:colOff>
      <xdr:row>7</xdr:row>
      <xdr:rowOff>1190625</xdr:rowOff>
    </xdr:to>
    <xdr:sp macro="" textlink="">
      <xdr:nvSpPr>
        <xdr:cNvPr id="6" name="Seta: para a Direita 5">
          <a:extLst>
            <a:ext uri="{FF2B5EF4-FFF2-40B4-BE49-F238E27FC236}">
              <a16:creationId xmlns:a16="http://schemas.microsoft.com/office/drawing/2014/main" id="{043AEDA9-97D0-4576-8711-EA6193FC586F}"/>
            </a:ext>
          </a:extLst>
        </xdr:cNvPr>
        <xdr:cNvSpPr/>
      </xdr:nvSpPr>
      <xdr:spPr>
        <a:xfrm>
          <a:off x="2619375" y="5524500"/>
          <a:ext cx="923925" cy="704850"/>
        </a:xfrm>
        <a:prstGeom prst="rightArrow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600075</xdr:colOff>
      <xdr:row>8</xdr:row>
      <xdr:rowOff>485775</xdr:rowOff>
    </xdr:from>
    <xdr:to>
      <xdr:col>1</xdr:col>
      <xdr:colOff>1524000</xdr:colOff>
      <xdr:row>8</xdr:row>
      <xdr:rowOff>1190625</xdr:rowOff>
    </xdr:to>
    <xdr:sp macro="" textlink="">
      <xdr:nvSpPr>
        <xdr:cNvPr id="7" name="Seta: para a Direita 6">
          <a:extLst>
            <a:ext uri="{FF2B5EF4-FFF2-40B4-BE49-F238E27FC236}">
              <a16:creationId xmlns:a16="http://schemas.microsoft.com/office/drawing/2014/main" id="{D0DA9F19-A2DF-4DD1-9444-8A8B93F1A144}"/>
            </a:ext>
          </a:extLst>
        </xdr:cNvPr>
        <xdr:cNvSpPr/>
      </xdr:nvSpPr>
      <xdr:spPr>
        <a:xfrm>
          <a:off x="2619375" y="8343900"/>
          <a:ext cx="923925" cy="704850"/>
        </a:xfrm>
        <a:prstGeom prst="rightArrow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600075</xdr:colOff>
      <xdr:row>9</xdr:row>
      <xdr:rowOff>485775</xdr:rowOff>
    </xdr:from>
    <xdr:to>
      <xdr:col>1</xdr:col>
      <xdr:colOff>1524000</xdr:colOff>
      <xdr:row>9</xdr:row>
      <xdr:rowOff>1190625</xdr:rowOff>
    </xdr:to>
    <xdr:sp macro="" textlink="">
      <xdr:nvSpPr>
        <xdr:cNvPr id="8" name="Seta: para a Direita 7">
          <a:extLst>
            <a:ext uri="{FF2B5EF4-FFF2-40B4-BE49-F238E27FC236}">
              <a16:creationId xmlns:a16="http://schemas.microsoft.com/office/drawing/2014/main" id="{3FB26556-8A8A-4EAC-B13F-C7AF4E78C4CF}"/>
            </a:ext>
          </a:extLst>
        </xdr:cNvPr>
        <xdr:cNvSpPr/>
      </xdr:nvSpPr>
      <xdr:spPr>
        <a:xfrm>
          <a:off x="2619375" y="8343900"/>
          <a:ext cx="923925" cy="704850"/>
        </a:xfrm>
        <a:prstGeom prst="rightArrow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600075</xdr:colOff>
      <xdr:row>10</xdr:row>
      <xdr:rowOff>485775</xdr:rowOff>
    </xdr:from>
    <xdr:to>
      <xdr:col>1</xdr:col>
      <xdr:colOff>1524000</xdr:colOff>
      <xdr:row>10</xdr:row>
      <xdr:rowOff>1190625</xdr:rowOff>
    </xdr:to>
    <xdr:sp macro="" textlink="">
      <xdr:nvSpPr>
        <xdr:cNvPr id="9" name="Seta: para a Direita 8">
          <a:extLst>
            <a:ext uri="{FF2B5EF4-FFF2-40B4-BE49-F238E27FC236}">
              <a16:creationId xmlns:a16="http://schemas.microsoft.com/office/drawing/2014/main" id="{7DCB7108-D27A-4CFF-8E0C-6687CF97B59B}"/>
            </a:ext>
          </a:extLst>
        </xdr:cNvPr>
        <xdr:cNvSpPr/>
      </xdr:nvSpPr>
      <xdr:spPr>
        <a:xfrm>
          <a:off x="2619375" y="8343900"/>
          <a:ext cx="923925" cy="704850"/>
        </a:xfrm>
        <a:prstGeom prst="rightArrow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514350</xdr:colOff>
      <xdr:row>1</xdr:row>
      <xdr:rowOff>504825</xdr:rowOff>
    </xdr:from>
    <xdr:to>
      <xdr:col>5</xdr:col>
      <xdr:colOff>1438275</xdr:colOff>
      <xdr:row>1</xdr:row>
      <xdr:rowOff>1209675</xdr:rowOff>
    </xdr:to>
    <xdr:sp macro="" textlink="">
      <xdr:nvSpPr>
        <xdr:cNvPr id="10" name="Seta: para a Direita 9">
          <a:extLst>
            <a:ext uri="{FF2B5EF4-FFF2-40B4-BE49-F238E27FC236}">
              <a16:creationId xmlns:a16="http://schemas.microsoft.com/office/drawing/2014/main" id="{26A42DCC-846E-4CD7-A7DD-93FAF44C9F0C}"/>
            </a:ext>
          </a:extLst>
        </xdr:cNvPr>
        <xdr:cNvSpPr/>
      </xdr:nvSpPr>
      <xdr:spPr>
        <a:xfrm>
          <a:off x="8915400" y="723900"/>
          <a:ext cx="923925" cy="704850"/>
        </a:xfrm>
        <a:prstGeom prst="rightArrow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514350</xdr:colOff>
      <xdr:row>2</xdr:row>
      <xdr:rowOff>504825</xdr:rowOff>
    </xdr:from>
    <xdr:to>
      <xdr:col>5</xdr:col>
      <xdr:colOff>1438275</xdr:colOff>
      <xdr:row>2</xdr:row>
      <xdr:rowOff>1209675</xdr:rowOff>
    </xdr:to>
    <xdr:sp macro="" textlink="">
      <xdr:nvSpPr>
        <xdr:cNvPr id="11" name="Seta: para a Direita 10">
          <a:extLst>
            <a:ext uri="{FF2B5EF4-FFF2-40B4-BE49-F238E27FC236}">
              <a16:creationId xmlns:a16="http://schemas.microsoft.com/office/drawing/2014/main" id="{4F35B0A0-5F6E-4BF4-B322-A1F7027ECA8A}"/>
            </a:ext>
          </a:extLst>
        </xdr:cNvPr>
        <xdr:cNvSpPr/>
      </xdr:nvSpPr>
      <xdr:spPr>
        <a:xfrm>
          <a:off x="8915400" y="723900"/>
          <a:ext cx="923925" cy="704850"/>
        </a:xfrm>
        <a:prstGeom prst="rightArrow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514350</xdr:colOff>
      <xdr:row>3</xdr:row>
      <xdr:rowOff>504825</xdr:rowOff>
    </xdr:from>
    <xdr:to>
      <xdr:col>5</xdr:col>
      <xdr:colOff>1438275</xdr:colOff>
      <xdr:row>3</xdr:row>
      <xdr:rowOff>1209675</xdr:rowOff>
    </xdr:to>
    <xdr:sp macro="" textlink="">
      <xdr:nvSpPr>
        <xdr:cNvPr id="12" name="Seta: para a Direita 11">
          <a:extLst>
            <a:ext uri="{FF2B5EF4-FFF2-40B4-BE49-F238E27FC236}">
              <a16:creationId xmlns:a16="http://schemas.microsoft.com/office/drawing/2014/main" id="{E7D61AC1-F413-47EE-97AB-96B4E2841E39}"/>
            </a:ext>
          </a:extLst>
        </xdr:cNvPr>
        <xdr:cNvSpPr/>
      </xdr:nvSpPr>
      <xdr:spPr>
        <a:xfrm>
          <a:off x="8915400" y="723900"/>
          <a:ext cx="923925" cy="704850"/>
        </a:xfrm>
        <a:prstGeom prst="rightArrow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504825</xdr:colOff>
      <xdr:row>4</xdr:row>
      <xdr:rowOff>742950</xdr:rowOff>
    </xdr:from>
    <xdr:to>
      <xdr:col>5</xdr:col>
      <xdr:colOff>1428750</xdr:colOff>
      <xdr:row>4</xdr:row>
      <xdr:rowOff>1447800</xdr:rowOff>
    </xdr:to>
    <xdr:sp macro="" textlink="">
      <xdr:nvSpPr>
        <xdr:cNvPr id="13" name="Seta: para a Direita 12">
          <a:extLst>
            <a:ext uri="{FF2B5EF4-FFF2-40B4-BE49-F238E27FC236}">
              <a16:creationId xmlns:a16="http://schemas.microsoft.com/office/drawing/2014/main" id="{80E00B53-A393-4678-8E21-4951644536E3}"/>
            </a:ext>
          </a:extLst>
        </xdr:cNvPr>
        <xdr:cNvSpPr/>
      </xdr:nvSpPr>
      <xdr:spPr>
        <a:xfrm>
          <a:off x="8905875" y="5781675"/>
          <a:ext cx="923925" cy="704850"/>
        </a:xfrm>
        <a:prstGeom prst="rightArrow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514350</xdr:colOff>
      <xdr:row>7</xdr:row>
      <xdr:rowOff>409575</xdr:rowOff>
    </xdr:from>
    <xdr:to>
      <xdr:col>5</xdr:col>
      <xdr:colOff>1438275</xdr:colOff>
      <xdr:row>7</xdr:row>
      <xdr:rowOff>1114425</xdr:rowOff>
    </xdr:to>
    <xdr:sp macro="" textlink="">
      <xdr:nvSpPr>
        <xdr:cNvPr id="14" name="Seta: para a Direita 13">
          <a:extLst>
            <a:ext uri="{FF2B5EF4-FFF2-40B4-BE49-F238E27FC236}">
              <a16:creationId xmlns:a16="http://schemas.microsoft.com/office/drawing/2014/main" id="{F24D8AEE-9BF5-4D1A-BF38-709E8BC63D25}"/>
            </a:ext>
          </a:extLst>
        </xdr:cNvPr>
        <xdr:cNvSpPr/>
      </xdr:nvSpPr>
      <xdr:spPr>
        <a:xfrm>
          <a:off x="8915400" y="8267700"/>
          <a:ext cx="923925" cy="704850"/>
        </a:xfrm>
        <a:prstGeom prst="rightArrow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514350</xdr:colOff>
      <xdr:row>8</xdr:row>
      <xdr:rowOff>409575</xdr:rowOff>
    </xdr:from>
    <xdr:to>
      <xdr:col>5</xdr:col>
      <xdr:colOff>1438275</xdr:colOff>
      <xdr:row>8</xdr:row>
      <xdr:rowOff>1114425</xdr:rowOff>
    </xdr:to>
    <xdr:sp macro="" textlink="">
      <xdr:nvSpPr>
        <xdr:cNvPr id="15" name="Seta: para a Direita 14">
          <a:extLst>
            <a:ext uri="{FF2B5EF4-FFF2-40B4-BE49-F238E27FC236}">
              <a16:creationId xmlns:a16="http://schemas.microsoft.com/office/drawing/2014/main" id="{3F814668-7B2F-4A5C-BCD0-A39764B0166C}"/>
            </a:ext>
          </a:extLst>
        </xdr:cNvPr>
        <xdr:cNvSpPr/>
      </xdr:nvSpPr>
      <xdr:spPr>
        <a:xfrm>
          <a:off x="8915400" y="8267700"/>
          <a:ext cx="923925" cy="704850"/>
        </a:xfrm>
        <a:prstGeom prst="rightArrow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514350</xdr:colOff>
      <xdr:row>9</xdr:row>
      <xdr:rowOff>409575</xdr:rowOff>
    </xdr:from>
    <xdr:to>
      <xdr:col>5</xdr:col>
      <xdr:colOff>1438275</xdr:colOff>
      <xdr:row>9</xdr:row>
      <xdr:rowOff>1114425</xdr:rowOff>
    </xdr:to>
    <xdr:sp macro="" textlink="">
      <xdr:nvSpPr>
        <xdr:cNvPr id="16" name="Seta: para a Direita 15">
          <a:extLst>
            <a:ext uri="{FF2B5EF4-FFF2-40B4-BE49-F238E27FC236}">
              <a16:creationId xmlns:a16="http://schemas.microsoft.com/office/drawing/2014/main" id="{81431CDF-0077-47FD-BE7F-1DBA8B70B46F}"/>
            </a:ext>
          </a:extLst>
        </xdr:cNvPr>
        <xdr:cNvSpPr/>
      </xdr:nvSpPr>
      <xdr:spPr>
        <a:xfrm>
          <a:off x="8915400" y="8267700"/>
          <a:ext cx="923925" cy="704850"/>
        </a:xfrm>
        <a:prstGeom prst="rightArrow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514350</xdr:colOff>
      <xdr:row>10</xdr:row>
      <xdr:rowOff>409575</xdr:rowOff>
    </xdr:from>
    <xdr:to>
      <xdr:col>5</xdr:col>
      <xdr:colOff>1438275</xdr:colOff>
      <xdr:row>10</xdr:row>
      <xdr:rowOff>1114425</xdr:rowOff>
    </xdr:to>
    <xdr:sp macro="" textlink="">
      <xdr:nvSpPr>
        <xdr:cNvPr id="17" name="Seta: para a Direita 16">
          <a:extLst>
            <a:ext uri="{FF2B5EF4-FFF2-40B4-BE49-F238E27FC236}">
              <a16:creationId xmlns:a16="http://schemas.microsoft.com/office/drawing/2014/main" id="{78318A14-81E8-4DA9-9E5D-AACE123A7DA4}"/>
            </a:ext>
          </a:extLst>
        </xdr:cNvPr>
        <xdr:cNvSpPr/>
      </xdr:nvSpPr>
      <xdr:spPr>
        <a:xfrm>
          <a:off x="8915400" y="8267700"/>
          <a:ext cx="923925" cy="704850"/>
        </a:xfrm>
        <a:prstGeom prst="rightArrow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</xdr:colOff>
      <xdr:row>0</xdr:row>
      <xdr:rowOff>0</xdr:rowOff>
    </xdr:from>
    <xdr:to>
      <xdr:col>14</xdr:col>
      <xdr:colOff>161925</xdr:colOff>
      <xdr:row>4</xdr:row>
      <xdr:rowOff>838199</xdr:rowOff>
    </xdr:to>
    <xdr:pic>
      <xdr:nvPicPr>
        <xdr:cNvPr id="2" name="Imagem 1" descr="Matriz GUT - Crescer com Educação">
          <a:extLst>
            <a:ext uri="{FF2B5EF4-FFF2-40B4-BE49-F238E27FC236}">
              <a16:creationId xmlns:a16="http://schemas.microsoft.com/office/drawing/2014/main" id="{3E15C3E8-EE61-370A-701A-25E9A257F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4675" y="0"/>
          <a:ext cx="5638800" cy="32670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371473</xdr:colOff>
      <xdr:row>3</xdr:row>
      <xdr:rowOff>66675</xdr:rowOff>
    </xdr:from>
    <xdr:to>
      <xdr:col>2</xdr:col>
      <xdr:colOff>561974</xdr:colOff>
      <xdr:row>3</xdr:row>
      <xdr:rowOff>247650</xdr:rowOff>
    </xdr:to>
    <xdr:sp macro="" textlink="">
      <xdr:nvSpPr>
        <xdr:cNvPr id="2" name="Seta: para a Esquerda e para Cima 1">
          <a:extLst>
            <a:ext uri="{FF2B5EF4-FFF2-40B4-BE49-F238E27FC236}">
              <a16:creationId xmlns:a16="http://schemas.microsoft.com/office/drawing/2014/main" id="{30882776-C187-472B-9874-CACFAF78A153}"/>
            </a:ext>
          </a:extLst>
        </xdr:cNvPr>
        <xdr:cNvSpPr/>
      </xdr:nvSpPr>
      <xdr:spPr>
        <a:xfrm flipH="1" flipV="1">
          <a:off x="1590673" y="1123950"/>
          <a:ext cx="190501" cy="180975"/>
        </a:xfrm>
        <a:prstGeom prst="leftUpArrow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361948</xdr:colOff>
      <xdr:row>10</xdr:row>
      <xdr:rowOff>47625</xdr:rowOff>
    </xdr:from>
    <xdr:to>
      <xdr:col>2</xdr:col>
      <xdr:colOff>552449</xdr:colOff>
      <xdr:row>10</xdr:row>
      <xdr:rowOff>228600</xdr:rowOff>
    </xdr:to>
    <xdr:sp macro="" textlink="">
      <xdr:nvSpPr>
        <xdr:cNvPr id="3" name="Seta: para a Esquerda e para Cima 2">
          <a:extLst>
            <a:ext uri="{FF2B5EF4-FFF2-40B4-BE49-F238E27FC236}">
              <a16:creationId xmlns:a16="http://schemas.microsoft.com/office/drawing/2014/main" id="{C9331561-BDB3-4375-A2D5-4085179D8993}"/>
            </a:ext>
          </a:extLst>
        </xdr:cNvPr>
        <xdr:cNvSpPr/>
      </xdr:nvSpPr>
      <xdr:spPr>
        <a:xfrm flipH="1" flipV="1">
          <a:off x="1581148" y="7829550"/>
          <a:ext cx="190501" cy="180975"/>
        </a:xfrm>
        <a:prstGeom prst="leftUpArrow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5</xdr:col>
      <xdr:colOff>504824</xdr:colOff>
      <xdr:row>0</xdr:row>
      <xdr:rowOff>0</xdr:rowOff>
    </xdr:from>
    <xdr:to>
      <xdr:col>5</xdr:col>
      <xdr:colOff>914399</xdr:colOff>
      <xdr:row>1</xdr:row>
      <xdr:rowOff>19050</xdr:rowOff>
    </xdr:to>
    <xdr:pic>
      <xdr:nvPicPr>
        <xdr:cNvPr id="5" name="Gráfico 4" descr="Gráfico de barras com tendência ascendente com preenchimento sólido">
          <a:extLst>
            <a:ext uri="{FF2B5EF4-FFF2-40B4-BE49-F238E27FC236}">
              <a16:creationId xmlns:a16="http://schemas.microsoft.com/office/drawing/2014/main" id="{69F7E7CA-3A28-CABE-02CC-F1A84ED18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648449" y="0"/>
          <a:ext cx="409575" cy="409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D7986-2B44-47FF-8BC0-5AFD0301F7FD}">
  <sheetPr>
    <tabColor theme="9" tint="0.59999389629810485"/>
  </sheetPr>
  <dimension ref="A1:H24"/>
  <sheetViews>
    <sheetView showGridLines="0" showRowColHeaders="0" topLeftCell="B1" workbookViewId="0">
      <selection activeCell="D3" sqref="D3"/>
    </sheetView>
  </sheetViews>
  <sheetFormatPr defaultColWidth="8.88671875" defaultRowHeight="14.4" x14ac:dyDescent="0.3"/>
  <cols>
    <col min="1" max="1" width="29.44140625" bestFit="1" customWidth="1"/>
    <col min="2" max="3" width="41.44140625" customWidth="1"/>
    <col min="4" max="4" width="41.88671875" customWidth="1"/>
    <col min="5" max="5" width="47.33203125" customWidth="1"/>
    <col min="7" max="7" width="27.44140625" bestFit="1" customWidth="1"/>
    <col min="8" max="8" width="15.33203125" bestFit="1" customWidth="1"/>
    <col min="9" max="9" width="30.33203125" bestFit="1" customWidth="1"/>
  </cols>
  <sheetData>
    <row r="1" spans="1:8" ht="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33" t="s">
        <v>2</v>
      </c>
      <c r="H1" s="33"/>
    </row>
    <row r="2" spans="1:8" ht="90" x14ac:dyDescent="0.4">
      <c r="A2" s="2" t="s">
        <v>5</v>
      </c>
      <c r="B2" s="3" t="s">
        <v>6</v>
      </c>
      <c r="C2" s="4" t="s">
        <v>7</v>
      </c>
      <c r="D2" s="5" t="s">
        <v>8</v>
      </c>
      <c r="E2" s="6" t="s">
        <v>9</v>
      </c>
      <c r="G2" s="34" t="s">
        <v>10</v>
      </c>
      <c r="H2" s="7" t="s">
        <v>11</v>
      </c>
    </row>
    <row r="3" spans="1:8" ht="90" x14ac:dyDescent="0.3">
      <c r="A3" s="2" t="s">
        <v>12</v>
      </c>
      <c r="B3" s="3" t="s">
        <v>13</v>
      </c>
      <c r="C3" s="4" t="s">
        <v>7</v>
      </c>
      <c r="D3" s="5" t="s">
        <v>14</v>
      </c>
      <c r="E3" s="3" t="s">
        <v>15</v>
      </c>
      <c r="G3" s="34"/>
      <c r="H3" s="7" t="s">
        <v>16</v>
      </c>
    </row>
    <row r="4" spans="1:8" ht="90" x14ac:dyDescent="0.3">
      <c r="A4" s="8" t="s">
        <v>17</v>
      </c>
      <c r="B4" s="3" t="s">
        <v>18</v>
      </c>
      <c r="C4" s="4" t="s">
        <v>19</v>
      </c>
      <c r="D4" s="5" t="s">
        <v>20</v>
      </c>
      <c r="E4" s="3" t="s">
        <v>21</v>
      </c>
      <c r="G4" s="34"/>
      <c r="H4" s="7" t="s">
        <v>22</v>
      </c>
    </row>
    <row r="5" spans="1:8" ht="72" x14ac:dyDescent="0.4">
      <c r="A5" s="3" t="s">
        <v>23</v>
      </c>
      <c r="B5" s="6" t="s">
        <v>24</v>
      </c>
      <c r="C5" s="4" t="s">
        <v>11</v>
      </c>
      <c r="D5" s="5" t="s">
        <v>25</v>
      </c>
      <c r="E5" s="6" t="s">
        <v>26</v>
      </c>
      <c r="G5" s="34" t="s">
        <v>27</v>
      </c>
      <c r="H5" s="7" t="s">
        <v>7</v>
      </c>
    </row>
    <row r="6" spans="1:8" ht="18" x14ac:dyDescent="0.4">
      <c r="A6" s="9"/>
      <c r="B6" s="9"/>
      <c r="C6" s="10"/>
      <c r="D6" s="10"/>
      <c r="E6" s="9"/>
      <c r="G6" s="34"/>
      <c r="H6" s="7" t="s">
        <v>19</v>
      </c>
    </row>
    <row r="7" spans="1:8" ht="18" x14ac:dyDescent="0.3">
      <c r="A7" s="1" t="s">
        <v>0</v>
      </c>
      <c r="B7" s="1" t="s">
        <v>28</v>
      </c>
      <c r="C7" s="1" t="s">
        <v>2</v>
      </c>
      <c r="D7" s="1" t="s">
        <v>29</v>
      </c>
      <c r="E7" s="1" t="s">
        <v>30</v>
      </c>
      <c r="G7" s="34"/>
      <c r="H7" s="7" t="s">
        <v>31</v>
      </c>
    </row>
    <row r="8" spans="1:8" ht="108" x14ac:dyDescent="0.4">
      <c r="A8" s="2" t="s">
        <v>5</v>
      </c>
      <c r="B8" s="31" t="s">
        <v>32</v>
      </c>
      <c r="C8" s="4" t="s">
        <v>22</v>
      </c>
      <c r="D8" s="5" t="s">
        <v>33</v>
      </c>
      <c r="E8" s="11" t="s">
        <v>34</v>
      </c>
    </row>
    <row r="9" spans="1:8" ht="144" x14ac:dyDescent="0.3">
      <c r="A9" s="2" t="s">
        <v>12</v>
      </c>
      <c r="B9" s="3" t="s">
        <v>35</v>
      </c>
      <c r="C9" s="4" t="s">
        <v>36</v>
      </c>
      <c r="D9" s="5" t="s">
        <v>37</v>
      </c>
      <c r="E9" s="11" t="s">
        <v>38</v>
      </c>
    </row>
    <row r="10" spans="1:8" ht="90" x14ac:dyDescent="0.4">
      <c r="A10" s="2" t="s">
        <v>17</v>
      </c>
      <c r="B10" s="3" t="s">
        <v>39</v>
      </c>
      <c r="C10" s="4" t="s">
        <v>31</v>
      </c>
      <c r="D10" s="5" t="s">
        <v>40</v>
      </c>
      <c r="E10" s="6" t="s">
        <v>41</v>
      </c>
    </row>
    <row r="11" spans="1:8" ht="144" x14ac:dyDescent="0.4">
      <c r="A11" s="3" t="s">
        <v>23</v>
      </c>
      <c r="B11" s="6" t="s">
        <v>42</v>
      </c>
      <c r="C11" s="4" t="s">
        <v>43</v>
      </c>
      <c r="D11" s="5" t="s">
        <v>44</v>
      </c>
      <c r="E11" s="11" t="s">
        <v>45</v>
      </c>
    </row>
    <row r="12" spans="1:8" x14ac:dyDescent="0.3">
      <c r="C12" s="13"/>
      <c r="D12" s="13"/>
    </row>
    <row r="13" spans="1:8" x14ac:dyDescent="0.3">
      <c r="C13" s="13"/>
      <c r="D13" s="13"/>
    </row>
    <row r="14" spans="1:8" ht="17.399999999999999" x14ac:dyDescent="0.3">
      <c r="A14" s="1" t="s">
        <v>46</v>
      </c>
      <c r="B14" s="1" t="s">
        <v>1</v>
      </c>
      <c r="C14" s="1" t="s">
        <v>2</v>
      </c>
      <c r="D14" s="1" t="s">
        <v>3</v>
      </c>
      <c r="E14" s="1" t="s">
        <v>47</v>
      </c>
    </row>
    <row r="15" spans="1:8" ht="72" x14ac:dyDescent="0.4">
      <c r="A15" s="2" t="s">
        <v>48</v>
      </c>
      <c r="B15" s="3" t="s">
        <v>6</v>
      </c>
      <c r="C15" s="4" t="s">
        <v>7</v>
      </c>
      <c r="D15" s="5" t="s">
        <v>8</v>
      </c>
      <c r="E15" s="6" t="s">
        <v>49</v>
      </c>
    </row>
    <row r="16" spans="1:8" ht="90" x14ac:dyDescent="0.3">
      <c r="A16" s="2" t="s">
        <v>50</v>
      </c>
      <c r="B16" s="3" t="s">
        <v>51</v>
      </c>
      <c r="C16" s="4" t="s">
        <v>7</v>
      </c>
      <c r="D16" s="5" t="s">
        <v>14</v>
      </c>
      <c r="E16" s="3" t="s">
        <v>52</v>
      </c>
    </row>
    <row r="17" spans="1:5" ht="108" x14ac:dyDescent="0.4">
      <c r="A17" s="2" t="s">
        <v>53</v>
      </c>
      <c r="B17" s="3" t="s">
        <v>18</v>
      </c>
      <c r="C17" s="4" t="s">
        <v>19</v>
      </c>
      <c r="D17" s="5" t="s">
        <v>54</v>
      </c>
      <c r="E17" s="6" t="s">
        <v>55</v>
      </c>
    </row>
    <row r="18" spans="1:5" ht="90" x14ac:dyDescent="0.4">
      <c r="A18" s="2" t="s">
        <v>56</v>
      </c>
      <c r="B18" s="3" t="s">
        <v>24</v>
      </c>
      <c r="C18" s="4" t="s">
        <v>11</v>
      </c>
      <c r="D18" s="5" t="s">
        <v>25</v>
      </c>
      <c r="E18" s="6" t="s">
        <v>57</v>
      </c>
    </row>
    <row r="19" spans="1:5" x14ac:dyDescent="0.3">
      <c r="C19" s="13"/>
      <c r="D19" s="13"/>
    </row>
    <row r="20" spans="1:5" ht="17.399999999999999" x14ac:dyDescent="0.3">
      <c r="A20" s="1" t="s">
        <v>46</v>
      </c>
      <c r="B20" s="1" t="s">
        <v>28</v>
      </c>
      <c r="C20" s="1" t="s">
        <v>2</v>
      </c>
      <c r="D20" s="1" t="s">
        <v>29</v>
      </c>
      <c r="E20" s="1" t="s">
        <v>58</v>
      </c>
    </row>
    <row r="21" spans="1:5" ht="108" x14ac:dyDescent="0.4">
      <c r="A21" s="2" t="s">
        <v>48</v>
      </c>
      <c r="B21" s="6" t="s">
        <v>59</v>
      </c>
      <c r="C21" s="4" t="s">
        <v>22</v>
      </c>
      <c r="D21" s="5" t="s">
        <v>60</v>
      </c>
      <c r="E21" s="3" t="s">
        <v>61</v>
      </c>
    </row>
    <row r="22" spans="1:5" ht="126" x14ac:dyDescent="0.3">
      <c r="A22" s="2" t="s">
        <v>50</v>
      </c>
      <c r="B22" s="3" t="s">
        <v>62</v>
      </c>
      <c r="C22" s="4" t="s">
        <v>36</v>
      </c>
      <c r="D22" s="5" t="s">
        <v>63</v>
      </c>
      <c r="E22" s="3" t="s">
        <v>64</v>
      </c>
    </row>
    <row r="23" spans="1:5" ht="90" x14ac:dyDescent="0.3">
      <c r="A23" s="2" t="s">
        <v>65</v>
      </c>
      <c r="B23" s="3" t="s">
        <v>39</v>
      </c>
      <c r="C23" s="4" t="s">
        <v>31</v>
      </c>
      <c r="D23" s="5" t="s">
        <v>40</v>
      </c>
      <c r="E23" s="3" t="s">
        <v>66</v>
      </c>
    </row>
    <row r="24" spans="1:5" ht="144" x14ac:dyDescent="0.4">
      <c r="A24" s="2" t="s">
        <v>56</v>
      </c>
      <c r="B24" s="6" t="s">
        <v>67</v>
      </c>
      <c r="C24" s="4" t="s">
        <v>43</v>
      </c>
      <c r="D24" s="5" t="s">
        <v>44</v>
      </c>
      <c r="E24" s="3" t="s">
        <v>68</v>
      </c>
    </row>
  </sheetData>
  <mergeCells count="3">
    <mergeCell ref="G1:H1"/>
    <mergeCell ref="G2:G4"/>
    <mergeCell ref="G5:G7"/>
  </mergeCells>
  <dataValidations count="1">
    <dataValidation type="list" allowBlank="1" showInputMessage="1" showErrorMessage="1" sqref="C2:C5 C23 C15:C18 C8 C21 C10" xr:uid="{90BF7C07-6FB8-48C0-8A6F-65FBF1239255}">
      <formula1>$H$2:$H$7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F44A6-0522-4470-BD22-8918C1B776D1}">
  <sheetPr>
    <tabColor theme="9" tint="0.59999389629810485"/>
  </sheetPr>
  <dimension ref="A1:G11"/>
  <sheetViews>
    <sheetView showGridLines="0" topLeftCell="A2" workbookViewId="0">
      <selection activeCell="I2" sqref="I2"/>
    </sheetView>
  </sheetViews>
  <sheetFormatPr defaultColWidth="8.88671875" defaultRowHeight="14.4" x14ac:dyDescent="0.3"/>
  <cols>
    <col min="1" max="1" width="30.33203125" bestFit="1" customWidth="1"/>
    <col min="2" max="2" width="30.33203125" customWidth="1"/>
    <col min="3" max="3" width="28.109375" customWidth="1"/>
    <col min="5" max="6" width="28.109375" customWidth="1"/>
    <col min="7" max="7" width="28.33203125" customWidth="1"/>
  </cols>
  <sheetData>
    <row r="1" spans="1:7" ht="17.399999999999999" x14ac:dyDescent="0.3">
      <c r="A1" s="1" t="s">
        <v>4</v>
      </c>
      <c r="C1" s="1" t="s">
        <v>69</v>
      </c>
      <c r="E1" s="1" t="s">
        <v>58</v>
      </c>
      <c r="G1" s="1" t="s">
        <v>69</v>
      </c>
    </row>
    <row r="2" spans="1:7" ht="144" x14ac:dyDescent="0.3">
      <c r="A2" s="3" t="s">
        <v>9</v>
      </c>
      <c r="C2" s="3" t="s">
        <v>70</v>
      </c>
      <c r="E2" s="3" t="s">
        <v>61</v>
      </c>
      <c r="G2" s="3" t="s">
        <v>71</v>
      </c>
    </row>
    <row r="3" spans="1:7" ht="162" x14ac:dyDescent="0.3">
      <c r="A3" s="3" t="s">
        <v>72</v>
      </c>
      <c r="C3" s="3" t="s">
        <v>73</v>
      </c>
      <c r="E3" s="3" t="s">
        <v>64</v>
      </c>
      <c r="G3" s="3" t="s">
        <v>74</v>
      </c>
    </row>
    <row r="4" spans="1:7" ht="108" x14ac:dyDescent="0.3">
      <c r="A4" s="3" t="s">
        <v>21</v>
      </c>
      <c r="C4" s="3" t="s">
        <v>75</v>
      </c>
      <c r="E4" s="3" t="s">
        <v>66</v>
      </c>
      <c r="G4" s="3" t="s">
        <v>76</v>
      </c>
    </row>
    <row r="5" spans="1:7" ht="198" x14ac:dyDescent="0.3">
      <c r="A5" s="3" t="s">
        <v>26</v>
      </c>
      <c r="C5" s="3" t="s">
        <v>77</v>
      </c>
      <c r="E5" s="3" t="s">
        <v>68</v>
      </c>
      <c r="G5" s="3" t="s">
        <v>78</v>
      </c>
    </row>
    <row r="7" spans="1:7" ht="17.399999999999999" x14ac:dyDescent="0.3">
      <c r="A7" s="1" t="s">
        <v>30</v>
      </c>
      <c r="C7" s="1" t="s">
        <v>69</v>
      </c>
      <c r="E7" s="1" t="s">
        <v>47</v>
      </c>
      <c r="G7" s="1" t="s">
        <v>69</v>
      </c>
    </row>
    <row r="8" spans="1:7" ht="126" x14ac:dyDescent="0.4">
      <c r="A8" s="11" t="s">
        <v>79</v>
      </c>
      <c r="C8" s="5" t="s">
        <v>80</v>
      </c>
      <c r="E8" s="6" t="s">
        <v>49</v>
      </c>
      <c r="G8" s="5" t="s">
        <v>81</v>
      </c>
    </row>
    <row r="9" spans="1:7" ht="216" x14ac:dyDescent="0.4">
      <c r="A9" s="12" t="s">
        <v>38</v>
      </c>
      <c r="C9" s="5" t="s">
        <v>82</v>
      </c>
      <c r="E9" s="3" t="s">
        <v>52</v>
      </c>
      <c r="G9" s="5" t="s">
        <v>83</v>
      </c>
    </row>
    <row r="10" spans="1:7" ht="198" x14ac:dyDescent="0.4">
      <c r="A10" s="3" t="s">
        <v>41</v>
      </c>
      <c r="C10" s="5" t="s">
        <v>84</v>
      </c>
      <c r="E10" s="6" t="s">
        <v>55</v>
      </c>
      <c r="G10" s="5" t="s">
        <v>85</v>
      </c>
    </row>
    <row r="11" spans="1:7" ht="198" x14ac:dyDescent="0.4">
      <c r="A11" s="11" t="s">
        <v>45</v>
      </c>
      <c r="C11" s="5" t="s">
        <v>86</v>
      </c>
      <c r="E11" s="6" t="s">
        <v>57</v>
      </c>
      <c r="G11" s="5" t="s">
        <v>87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C2843-31CB-440F-8BAD-0FB419E6A119}">
  <sheetPr>
    <tabColor theme="9" tint="0.59999389629810485"/>
  </sheetPr>
  <dimension ref="A1:E18"/>
  <sheetViews>
    <sheetView showGridLines="0" workbookViewId="0">
      <selection activeCell="E6" sqref="E6"/>
    </sheetView>
  </sheetViews>
  <sheetFormatPr defaultColWidth="8.88671875" defaultRowHeight="14.4" x14ac:dyDescent="0.3"/>
  <cols>
    <col min="1" max="1" width="41.44140625" customWidth="1"/>
    <col min="2" max="5" width="15.44140625" customWidth="1"/>
  </cols>
  <sheetData>
    <row r="1" spans="1:5" ht="18" x14ac:dyDescent="0.3">
      <c r="A1" s="35" t="s">
        <v>88</v>
      </c>
      <c r="B1" s="36"/>
      <c r="C1" s="36"/>
      <c r="D1" s="36"/>
      <c r="E1" s="37"/>
    </row>
    <row r="2" spans="1:5" ht="17.399999999999999" x14ac:dyDescent="0.35">
      <c r="A2" s="17" t="s">
        <v>89</v>
      </c>
      <c r="B2" s="18" t="s">
        <v>90</v>
      </c>
      <c r="C2" s="18" t="s">
        <v>91</v>
      </c>
      <c r="D2" s="18" t="s">
        <v>92</v>
      </c>
      <c r="E2" s="18" t="s">
        <v>93</v>
      </c>
    </row>
    <row r="3" spans="1:5" ht="54" x14ac:dyDescent="0.3">
      <c r="A3" s="14" t="s">
        <v>70</v>
      </c>
      <c r="B3" s="15">
        <v>3</v>
      </c>
      <c r="C3" s="15">
        <v>4</v>
      </c>
      <c r="D3" s="15">
        <v>4</v>
      </c>
      <c r="E3" s="15">
        <f t="shared" ref="E3:E18" si="0">PRODUCT(B3:D3)</f>
        <v>48</v>
      </c>
    </row>
    <row r="4" spans="1:5" ht="108" x14ac:dyDescent="0.3">
      <c r="A4" s="16" t="s">
        <v>78</v>
      </c>
      <c r="B4" s="15">
        <v>3</v>
      </c>
      <c r="C4" s="15">
        <v>3</v>
      </c>
      <c r="D4" s="15">
        <v>4</v>
      </c>
      <c r="E4" s="15">
        <f t="shared" si="0"/>
        <v>36</v>
      </c>
    </row>
    <row r="5" spans="1:5" ht="90" x14ac:dyDescent="0.3">
      <c r="A5" s="5" t="s">
        <v>84</v>
      </c>
      <c r="B5" s="7">
        <v>3</v>
      </c>
      <c r="C5" s="7">
        <v>3</v>
      </c>
      <c r="D5" s="7">
        <v>3</v>
      </c>
      <c r="E5" s="7">
        <f t="shared" si="0"/>
        <v>27</v>
      </c>
    </row>
    <row r="6" spans="1:5" ht="108" x14ac:dyDescent="0.3">
      <c r="A6" s="5" t="s">
        <v>85</v>
      </c>
      <c r="B6" s="7">
        <v>3</v>
      </c>
      <c r="C6" s="7">
        <v>3</v>
      </c>
      <c r="D6" s="7">
        <v>3</v>
      </c>
      <c r="E6" s="7">
        <f t="shared" si="0"/>
        <v>27</v>
      </c>
    </row>
    <row r="7" spans="1:5" ht="108" x14ac:dyDescent="0.3">
      <c r="A7" s="3" t="s">
        <v>74</v>
      </c>
      <c r="B7" s="7">
        <v>4</v>
      </c>
      <c r="C7" s="7">
        <v>3</v>
      </c>
      <c r="D7" s="7">
        <v>2</v>
      </c>
      <c r="E7" s="7">
        <f t="shared" si="0"/>
        <v>24</v>
      </c>
    </row>
    <row r="8" spans="1:5" ht="54" x14ac:dyDescent="0.3">
      <c r="A8" s="3" t="s">
        <v>73</v>
      </c>
      <c r="B8" s="7">
        <v>3</v>
      </c>
      <c r="C8" s="7">
        <v>3</v>
      </c>
      <c r="D8" s="7">
        <v>2</v>
      </c>
      <c r="E8" s="7">
        <f t="shared" si="0"/>
        <v>18</v>
      </c>
    </row>
    <row r="9" spans="1:5" ht="108" x14ac:dyDescent="0.3">
      <c r="A9" s="3" t="s">
        <v>77</v>
      </c>
      <c r="B9" s="7">
        <v>3</v>
      </c>
      <c r="C9" s="7">
        <v>3</v>
      </c>
      <c r="D9" s="7">
        <v>2</v>
      </c>
      <c r="E9" s="7">
        <f t="shared" si="0"/>
        <v>18</v>
      </c>
    </row>
    <row r="10" spans="1:5" ht="72" x14ac:dyDescent="0.3">
      <c r="A10" s="3" t="s">
        <v>71</v>
      </c>
      <c r="B10" s="7">
        <v>3</v>
      </c>
      <c r="C10" s="7">
        <v>2</v>
      </c>
      <c r="D10" s="7">
        <v>3</v>
      </c>
      <c r="E10" s="7">
        <f t="shared" si="0"/>
        <v>18</v>
      </c>
    </row>
    <row r="11" spans="1:5" ht="72" x14ac:dyDescent="0.3">
      <c r="A11" s="5" t="s">
        <v>83</v>
      </c>
      <c r="B11" s="7">
        <v>3</v>
      </c>
      <c r="C11" s="7">
        <v>3</v>
      </c>
      <c r="D11" s="7">
        <v>2</v>
      </c>
      <c r="E11" s="7">
        <f t="shared" si="0"/>
        <v>18</v>
      </c>
    </row>
    <row r="12" spans="1:5" ht="90" x14ac:dyDescent="0.3">
      <c r="A12" s="3" t="s">
        <v>76</v>
      </c>
      <c r="B12" s="7">
        <v>4</v>
      </c>
      <c r="C12" s="7">
        <v>2</v>
      </c>
      <c r="D12" s="7">
        <v>2</v>
      </c>
      <c r="E12" s="7">
        <f t="shared" si="0"/>
        <v>16</v>
      </c>
    </row>
    <row r="13" spans="1:5" ht="126" x14ac:dyDescent="0.3">
      <c r="A13" s="5" t="s">
        <v>82</v>
      </c>
      <c r="B13" s="7">
        <v>2</v>
      </c>
      <c r="C13" s="7">
        <v>2</v>
      </c>
      <c r="D13" s="7">
        <v>3</v>
      </c>
      <c r="E13" s="7">
        <f t="shared" si="0"/>
        <v>12</v>
      </c>
    </row>
    <row r="14" spans="1:5" ht="72" x14ac:dyDescent="0.3">
      <c r="A14" s="5" t="s">
        <v>81</v>
      </c>
      <c r="B14" s="7">
        <v>2</v>
      </c>
      <c r="C14" s="7">
        <v>3</v>
      </c>
      <c r="D14" s="7">
        <v>2</v>
      </c>
      <c r="E14" s="7">
        <f t="shared" si="0"/>
        <v>12</v>
      </c>
    </row>
    <row r="15" spans="1:5" ht="72" x14ac:dyDescent="0.3">
      <c r="A15" s="5" t="s">
        <v>86</v>
      </c>
      <c r="B15" s="7">
        <v>2</v>
      </c>
      <c r="C15" s="7">
        <v>2</v>
      </c>
      <c r="D15" s="7">
        <v>2</v>
      </c>
      <c r="E15" s="7">
        <f t="shared" si="0"/>
        <v>8</v>
      </c>
    </row>
    <row r="16" spans="1:5" ht="108" x14ac:dyDescent="0.3">
      <c r="A16" s="5" t="s">
        <v>87</v>
      </c>
      <c r="B16" s="7">
        <v>2</v>
      </c>
      <c r="C16" s="7">
        <v>2</v>
      </c>
      <c r="D16" s="7">
        <v>2</v>
      </c>
      <c r="E16" s="7">
        <f t="shared" si="0"/>
        <v>8</v>
      </c>
    </row>
    <row r="17" spans="1:5" ht="72" x14ac:dyDescent="0.3">
      <c r="A17" s="3" t="s">
        <v>75</v>
      </c>
      <c r="B17" s="7">
        <v>2</v>
      </c>
      <c r="C17" s="7">
        <v>2</v>
      </c>
      <c r="D17" s="7">
        <v>1</v>
      </c>
      <c r="E17" s="7">
        <f t="shared" si="0"/>
        <v>4</v>
      </c>
    </row>
    <row r="18" spans="1:5" ht="90" x14ac:dyDescent="0.3">
      <c r="A18" s="5" t="s">
        <v>80</v>
      </c>
      <c r="B18" s="7">
        <v>2</v>
      </c>
      <c r="C18" s="7">
        <v>1</v>
      </c>
      <c r="D18" s="7">
        <v>2</v>
      </c>
      <c r="E18" s="7">
        <f t="shared" si="0"/>
        <v>4</v>
      </c>
    </row>
  </sheetData>
  <sortState xmlns:xlrd2="http://schemas.microsoft.com/office/spreadsheetml/2017/richdata2" ref="A3:E18">
    <sortCondition descending="1" ref="E2:E18"/>
  </sortState>
  <mergeCells count="1">
    <mergeCell ref="A1:E1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BC0F0-C5BD-4C0A-B1D0-DB7F130678A2}">
  <sheetPr>
    <tabColor theme="9" tint="0.59999389629810485"/>
  </sheetPr>
  <dimension ref="A1:H16"/>
  <sheetViews>
    <sheetView showGridLines="0" showRowColHeaders="0" zoomScale="80" zoomScaleNormal="80" workbookViewId="0">
      <pane ySplit="2" topLeftCell="A3" activePane="bottomLeft" state="frozen"/>
      <selection activeCell="A2" sqref="A2"/>
      <selection pane="bottomLeft" activeCell="I1" sqref="I1"/>
    </sheetView>
  </sheetViews>
  <sheetFormatPr defaultColWidth="8.88671875" defaultRowHeight="14.4" x14ac:dyDescent="0.3"/>
  <cols>
    <col min="1" max="6" width="32.33203125" style="27" customWidth="1"/>
    <col min="7" max="7" width="32.33203125" style="30" customWidth="1"/>
    <col min="8" max="8" width="32.33203125" style="27" customWidth="1"/>
  </cols>
  <sheetData>
    <row r="1" spans="1:8" ht="17.399999999999999" x14ac:dyDescent="0.3">
      <c r="A1" s="38" t="s">
        <v>94</v>
      </c>
      <c r="B1" s="39"/>
      <c r="C1" s="39"/>
      <c r="D1" s="39"/>
      <c r="E1" s="39"/>
      <c r="F1" s="39"/>
      <c r="G1" s="39"/>
      <c r="H1" s="40"/>
    </row>
    <row r="2" spans="1:8" ht="17.399999999999999" x14ac:dyDescent="0.3">
      <c r="A2" s="26" t="s">
        <v>95</v>
      </c>
      <c r="B2" s="26" t="s">
        <v>96</v>
      </c>
      <c r="C2" s="26" t="s">
        <v>97</v>
      </c>
      <c r="D2" s="26" t="s">
        <v>98</v>
      </c>
      <c r="E2" s="26" t="s">
        <v>99</v>
      </c>
      <c r="F2" s="26" t="s">
        <v>100</v>
      </c>
      <c r="G2" s="28" t="s">
        <v>101</v>
      </c>
      <c r="H2" s="26" t="s">
        <v>102</v>
      </c>
    </row>
    <row r="3" spans="1:8" ht="108" x14ac:dyDescent="0.3">
      <c r="A3" s="4" t="s">
        <v>103</v>
      </c>
      <c r="B3" s="4" t="s">
        <v>104</v>
      </c>
      <c r="C3" s="4" t="s">
        <v>105</v>
      </c>
      <c r="D3" s="4" t="s">
        <v>106</v>
      </c>
      <c r="E3" s="4" t="s">
        <v>107</v>
      </c>
      <c r="F3" s="4" t="s">
        <v>108</v>
      </c>
      <c r="G3" s="29" t="s">
        <v>109</v>
      </c>
      <c r="H3" s="4" t="s">
        <v>110</v>
      </c>
    </row>
    <row r="4" spans="1:8" ht="54" x14ac:dyDescent="0.3">
      <c r="A4" s="4" t="s">
        <v>111</v>
      </c>
      <c r="B4" s="4" t="s">
        <v>112</v>
      </c>
      <c r="C4" s="4" t="s">
        <v>105</v>
      </c>
      <c r="D4" s="4" t="s">
        <v>113</v>
      </c>
      <c r="E4" s="4">
        <v>2025</v>
      </c>
      <c r="F4" s="4" t="s">
        <v>114</v>
      </c>
      <c r="G4" s="29" t="s">
        <v>109</v>
      </c>
      <c r="H4" s="4" t="s">
        <v>115</v>
      </c>
    </row>
    <row r="5" spans="1:8" ht="108" x14ac:dyDescent="0.3">
      <c r="A5" s="4" t="s">
        <v>116</v>
      </c>
      <c r="B5" s="4" t="s">
        <v>117</v>
      </c>
      <c r="C5" s="4" t="s">
        <v>105</v>
      </c>
      <c r="D5" s="4" t="s">
        <v>118</v>
      </c>
      <c r="E5" s="4" t="s">
        <v>119</v>
      </c>
      <c r="F5" s="4" t="s">
        <v>120</v>
      </c>
      <c r="G5" s="29" t="s">
        <v>109</v>
      </c>
      <c r="H5" s="4" t="s">
        <v>121</v>
      </c>
    </row>
    <row r="6" spans="1:8" ht="72" x14ac:dyDescent="0.3">
      <c r="A6" s="4" t="s">
        <v>122</v>
      </c>
      <c r="B6" s="4" t="s">
        <v>123</v>
      </c>
      <c r="C6" s="4" t="s">
        <v>105</v>
      </c>
      <c r="D6" s="4" t="s">
        <v>124</v>
      </c>
      <c r="E6" s="4" t="s">
        <v>125</v>
      </c>
      <c r="F6" s="4" t="s">
        <v>126</v>
      </c>
      <c r="G6" s="29" t="s">
        <v>109</v>
      </c>
      <c r="H6" s="4" t="s">
        <v>127</v>
      </c>
    </row>
    <row r="7" spans="1:8" ht="72" x14ac:dyDescent="0.3">
      <c r="A7" s="4" t="s">
        <v>128</v>
      </c>
      <c r="B7" s="4" t="s">
        <v>129</v>
      </c>
      <c r="C7" s="4" t="s">
        <v>105</v>
      </c>
      <c r="D7" s="4" t="s">
        <v>113</v>
      </c>
      <c r="E7" s="4" t="s">
        <v>130</v>
      </c>
      <c r="F7" s="4" t="s">
        <v>131</v>
      </c>
      <c r="G7" s="29" t="s">
        <v>109</v>
      </c>
      <c r="H7" s="4" t="s">
        <v>132</v>
      </c>
    </row>
    <row r="8" spans="1:8" ht="72" x14ac:dyDescent="0.3">
      <c r="A8" s="4" t="s">
        <v>133</v>
      </c>
      <c r="B8" s="4" t="s">
        <v>134</v>
      </c>
      <c r="C8" s="4" t="s">
        <v>105</v>
      </c>
      <c r="D8" s="4" t="s">
        <v>135</v>
      </c>
      <c r="E8" s="4">
        <v>2026</v>
      </c>
      <c r="F8" s="4" t="s">
        <v>136</v>
      </c>
      <c r="G8" s="29" t="s">
        <v>109</v>
      </c>
      <c r="H8" s="4" t="s">
        <v>137</v>
      </c>
    </row>
    <row r="9" spans="1:8" ht="90" x14ac:dyDescent="0.3">
      <c r="A9" s="4" t="s">
        <v>138</v>
      </c>
      <c r="B9" s="4" t="s">
        <v>139</v>
      </c>
      <c r="C9" s="4" t="s">
        <v>105</v>
      </c>
      <c r="D9" s="4" t="s">
        <v>140</v>
      </c>
      <c r="E9" s="4" t="s">
        <v>141</v>
      </c>
      <c r="F9" s="4" t="s">
        <v>142</v>
      </c>
      <c r="G9" s="29" t="s">
        <v>109</v>
      </c>
      <c r="H9" s="4" t="s">
        <v>143</v>
      </c>
    </row>
    <row r="10" spans="1:8" ht="72" x14ac:dyDescent="0.3">
      <c r="A10" s="4" t="s">
        <v>144</v>
      </c>
      <c r="B10" s="4" t="s">
        <v>104</v>
      </c>
      <c r="C10" s="4" t="s">
        <v>105</v>
      </c>
      <c r="D10" s="4" t="s">
        <v>106</v>
      </c>
      <c r="E10" s="4" t="s">
        <v>145</v>
      </c>
      <c r="F10" s="4" t="s">
        <v>108</v>
      </c>
      <c r="G10" s="29" t="s">
        <v>109</v>
      </c>
      <c r="H10" s="4" t="s">
        <v>146</v>
      </c>
    </row>
    <row r="11" spans="1:8" ht="72" x14ac:dyDescent="0.3">
      <c r="A11" s="4" t="s">
        <v>147</v>
      </c>
      <c r="B11" s="4" t="s">
        <v>148</v>
      </c>
      <c r="C11" s="4" t="s">
        <v>105</v>
      </c>
      <c r="D11" s="4" t="s">
        <v>149</v>
      </c>
      <c r="E11" s="4" t="s">
        <v>150</v>
      </c>
      <c r="F11" s="4" t="s">
        <v>151</v>
      </c>
      <c r="G11" s="29" t="s">
        <v>109</v>
      </c>
      <c r="H11" s="4" t="s">
        <v>152</v>
      </c>
    </row>
    <row r="12" spans="1:8" ht="54" x14ac:dyDescent="0.3">
      <c r="A12" s="4" t="s">
        <v>153</v>
      </c>
      <c r="B12" s="4" t="s">
        <v>134</v>
      </c>
      <c r="C12" s="4" t="s">
        <v>105</v>
      </c>
      <c r="D12" s="4" t="s">
        <v>135</v>
      </c>
      <c r="E12" s="4" t="s">
        <v>154</v>
      </c>
      <c r="F12" s="4" t="s">
        <v>155</v>
      </c>
      <c r="G12" s="29" t="s">
        <v>109</v>
      </c>
      <c r="H12" s="4"/>
    </row>
    <row r="13" spans="1:8" ht="72" x14ac:dyDescent="0.3">
      <c r="A13" s="4" t="s">
        <v>156</v>
      </c>
      <c r="B13" s="4" t="s">
        <v>157</v>
      </c>
      <c r="C13" s="4" t="s">
        <v>105</v>
      </c>
      <c r="D13" s="4" t="s">
        <v>158</v>
      </c>
      <c r="E13" s="4" t="s">
        <v>159</v>
      </c>
      <c r="F13" s="4" t="s">
        <v>160</v>
      </c>
      <c r="G13" s="29" t="s">
        <v>109</v>
      </c>
      <c r="H13" s="4" t="s">
        <v>161</v>
      </c>
    </row>
    <row r="14" spans="1:8" ht="180" x14ac:dyDescent="0.3">
      <c r="A14" s="4" t="s">
        <v>162</v>
      </c>
      <c r="B14" s="4" t="s">
        <v>163</v>
      </c>
      <c r="C14" s="4" t="s">
        <v>105</v>
      </c>
      <c r="D14" s="4" t="s">
        <v>164</v>
      </c>
      <c r="E14" s="4" t="s">
        <v>159</v>
      </c>
      <c r="F14" s="4" t="s">
        <v>165</v>
      </c>
      <c r="G14" s="29" t="s">
        <v>109</v>
      </c>
      <c r="H14" s="4" t="s">
        <v>166</v>
      </c>
    </row>
    <row r="15" spans="1:8" ht="90" x14ac:dyDescent="0.3">
      <c r="A15" s="4" t="s">
        <v>167</v>
      </c>
      <c r="B15" s="4" t="s">
        <v>168</v>
      </c>
      <c r="C15" s="4" t="s">
        <v>105</v>
      </c>
      <c r="D15" s="4" t="s">
        <v>169</v>
      </c>
      <c r="E15" s="4">
        <v>2024</v>
      </c>
      <c r="F15" s="4" t="s">
        <v>170</v>
      </c>
      <c r="G15" s="29" t="s">
        <v>109</v>
      </c>
      <c r="H15" s="4" t="s">
        <v>171</v>
      </c>
    </row>
    <row r="16" spans="1:8" ht="72" x14ac:dyDescent="0.3">
      <c r="A16" s="4" t="s">
        <v>172</v>
      </c>
      <c r="B16" s="4" t="s">
        <v>134</v>
      </c>
      <c r="C16" s="4" t="s">
        <v>105</v>
      </c>
      <c r="D16" s="4" t="s">
        <v>135</v>
      </c>
      <c r="E16" s="4" t="s">
        <v>159</v>
      </c>
      <c r="F16" s="4" t="s">
        <v>173</v>
      </c>
      <c r="G16" s="29" t="s">
        <v>109</v>
      </c>
      <c r="H16" s="4" t="s">
        <v>174</v>
      </c>
    </row>
  </sheetData>
  <mergeCells count="1">
    <mergeCell ref="A1:H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A498F-C67E-441D-A484-5BC45ABE1FE4}">
  <sheetPr>
    <tabColor theme="9" tint="0.59999389629810485"/>
  </sheetPr>
  <dimension ref="A1:Q15"/>
  <sheetViews>
    <sheetView showGridLines="0" tabSelected="1" topLeftCell="A8" zoomScaleNormal="100" workbookViewId="0">
      <selection activeCell="E12" sqref="E12"/>
    </sheetView>
  </sheetViews>
  <sheetFormatPr defaultColWidth="8.88671875" defaultRowHeight="14.4" x14ac:dyDescent="0.3"/>
  <cols>
    <col min="3" max="3" width="13.33203125" customWidth="1"/>
    <col min="4" max="4" width="27.6640625" bestFit="1" customWidth="1"/>
    <col min="5" max="5" width="34.88671875" bestFit="1" customWidth="1"/>
    <col min="6" max="6" width="43.6640625" bestFit="1" customWidth="1"/>
    <col min="7" max="7" width="27.88671875" customWidth="1"/>
  </cols>
  <sheetData>
    <row r="1" spans="1:17" ht="30.75" customHeight="1" x14ac:dyDescent="0.35">
      <c r="A1" s="41" t="s">
        <v>175</v>
      </c>
      <c r="B1" s="41"/>
      <c r="C1" s="41"/>
      <c r="D1" s="41"/>
      <c r="E1" s="41"/>
      <c r="F1" s="41"/>
      <c r="G1" s="41"/>
      <c r="H1" s="41"/>
      <c r="I1" s="21"/>
      <c r="J1" s="21"/>
      <c r="K1" s="21"/>
      <c r="L1" s="21"/>
      <c r="M1" s="21"/>
      <c r="N1" s="21"/>
      <c r="O1" s="21"/>
      <c r="P1" s="21"/>
      <c r="Q1" s="21"/>
    </row>
    <row r="2" spans="1:17" ht="18" x14ac:dyDescent="0.35">
      <c r="B2" s="20"/>
      <c r="C2" s="20"/>
      <c r="D2" s="20"/>
      <c r="E2" s="20" t="s">
        <v>176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 ht="33" customHeight="1" x14ac:dyDescent="0.3">
      <c r="C3" s="38" t="s">
        <v>70</v>
      </c>
      <c r="D3" s="39"/>
      <c r="E3" s="39"/>
      <c r="F3" s="39"/>
      <c r="G3" s="40"/>
    </row>
    <row r="4" spans="1:17" s="23" customFormat="1" ht="23.25" customHeight="1" x14ac:dyDescent="0.3">
      <c r="C4" s="22"/>
      <c r="D4" s="24" t="s">
        <v>177</v>
      </c>
      <c r="E4" s="25" t="s">
        <v>178</v>
      </c>
      <c r="F4" s="25" t="s">
        <v>179</v>
      </c>
      <c r="G4" s="25" t="s">
        <v>180</v>
      </c>
    </row>
    <row r="5" spans="1:17" ht="99.75" customHeight="1" x14ac:dyDescent="0.3">
      <c r="C5" s="25" t="s">
        <v>89</v>
      </c>
      <c r="D5" s="3" t="s">
        <v>181</v>
      </c>
      <c r="E5" s="3" t="s">
        <v>182</v>
      </c>
      <c r="F5" s="3" t="s">
        <v>183</v>
      </c>
      <c r="G5" s="3" t="s">
        <v>184</v>
      </c>
    </row>
    <row r="6" spans="1:17" ht="54" x14ac:dyDescent="0.3">
      <c r="C6" s="17" t="s">
        <v>185</v>
      </c>
      <c r="D6" s="3" t="s">
        <v>186</v>
      </c>
      <c r="E6" s="3" t="s">
        <v>187</v>
      </c>
      <c r="F6" s="3" t="s">
        <v>188</v>
      </c>
      <c r="G6" s="3" t="s">
        <v>189</v>
      </c>
    </row>
    <row r="7" spans="1:17" ht="108" x14ac:dyDescent="0.3">
      <c r="C7" s="17" t="s">
        <v>190</v>
      </c>
      <c r="D7" s="3" t="s">
        <v>191</v>
      </c>
      <c r="E7" s="3" t="s">
        <v>192</v>
      </c>
      <c r="F7" s="3" t="s">
        <v>193</v>
      </c>
      <c r="G7" s="3" t="s">
        <v>194</v>
      </c>
    </row>
    <row r="8" spans="1:17" ht="252" x14ac:dyDescent="0.3">
      <c r="C8" s="17" t="s">
        <v>195</v>
      </c>
      <c r="D8" s="3" t="s">
        <v>196</v>
      </c>
      <c r="E8" s="3" t="s">
        <v>197</v>
      </c>
      <c r="F8" s="3" t="s">
        <v>198</v>
      </c>
      <c r="G8" s="3" t="s">
        <v>199</v>
      </c>
    </row>
    <row r="10" spans="1:17" ht="42.75" customHeight="1" x14ac:dyDescent="0.3">
      <c r="C10" s="38" t="s">
        <v>200</v>
      </c>
      <c r="D10" s="39"/>
      <c r="E10" s="39"/>
      <c r="F10" s="39"/>
      <c r="G10" s="40"/>
    </row>
    <row r="11" spans="1:17" ht="23.25" customHeight="1" x14ac:dyDescent="0.4">
      <c r="C11" s="19"/>
      <c r="D11" s="24" t="s">
        <v>177</v>
      </c>
      <c r="E11" s="25" t="s">
        <v>178</v>
      </c>
      <c r="F11" s="25" t="s">
        <v>179</v>
      </c>
      <c r="G11" s="25" t="s">
        <v>180</v>
      </c>
    </row>
    <row r="12" spans="1:17" ht="54" x14ac:dyDescent="0.3">
      <c r="C12" s="25" t="s">
        <v>89</v>
      </c>
      <c r="D12" s="3" t="s">
        <v>201</v>
      </c>
      <c r="E12" s="32" t="s">
        <v>202</v>
      </c>
      <c r="F12" s="3" t="s">
        <v>203</v>
      </c>
      <c r="G12" s="3" t="s">
        <v>204</v>
      </c>
    </row>
    <row r="13" spans="1:17" ht="54" x14ac:dyDescent="0.3">
      <c r="C13" s="17" t="s">
        <v>185</v>
      </c>
      <c r="D13" s="3" t="s">
        <v>205</v>
      </c>
      <c r="E13" s="3" t="s">
        <v>206</v>
      </c>
      <c r="F13" s="3" t="s">
        <v>207</v>
      </c>
      <c r="G13" s="3" t="s">
        <v>208</v>
      </c>
    </row>
    <row r="14" spans="1:17" ht="72" x14ac:dyDescent="0.3">
      <c r="C14" s="17" t="s">
        <v>190</v>
      </c>
      <c r="D14" s="3" t="s">
        <v>209</v>
      </c>
      <c r="E14" s="3" t="s">
        <v>210</v>
      </c>
      <c r="F14" s="3" t="s">
        <v>211</v>
      </c>
      <c r="G14" s="3" t="s">
        <v>212</v>
      </c>
    </row>
    <row r="15" spans="1:17" ht="288" x14ac:dyDescent="0.3">
      <c r="C15" s="17" t="s">
        <v>195</v>
      </c>
      <c r="D15" s="3" t="s">
        <v>213</v>
      </c>
      <c r="E15" s="3" t="s">
        <v>214</v>
      </c>
      <c r="F15" s="3" t="s">
        <v>215</v>
      </c>
      <c r="G15" s="3" t="s">
        <v>216</v>
      </c>
    </row>
  </sheetData>
  <mergeCells count="3">
    <mergeCell ref="C3:G3"/>
    <mergeCell ref="C10:G10"/>
    <mergeCell ref="A1:H1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74D507A823D04085DD73622516C4C0" ma:contentTypeVersion="4" ma:contentTypeDescription="Crie um novo documento." ma:contentTypeScope="" ma:versionID="e7800b03e6c5c8f410efb5a9765c36bb">
  <xsd:schema xmlns:xsd="http://www.w3.org/2001/XMLSchema" xmlns:xs="http://www.w3.org/2001/XMLSchema" xmlns:p="http://schemas.microsoft.com/office/2006/metadata/properties" xmlns:ns2="9c1ca515-224c-4985-9692-103163aa8265" targetNamespace="http://schemas.microsoft.com/office/2006/metadata/properties" ma:root="true" ma:fieldsID="b6df50d983777245b55d46b887a231ef" ns2:_="">
    <xsd:import namespace="9c1ca515-224c-4985-9692-103163aa82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1ca515-224c-4985-9692-103163aa82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6CD3B1-5103-4E4B-BEBE-317B60BDD3F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2BBE5F7-CDC2-495D-8B96-373C6B04B7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173D88C-BC98-40F0-8D33-4CA4571C4A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1ca515-224c-4985-9692-103163aa82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SWOT</vt:lpstr>
      <vt:lpstr>Objetivos</vt:lpstr>
      <vt:lpstr>GUT</vt:lpstr>
      <vt:lpstr>5W3H</vt:lpstr>
      <vt:lpstr>BSC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Vanessa Farinon</dc:creator>
  <cp:keywords/>
  <dc:description/>
  <cp:lastModifiedBy>Ana Elisa Rubinato Cavalheiro</cp:lastModifiedBy>
  <cp:revision/>
  <dcterms:created xsi:type="dcterms:W3CDTF">2023-09-28T17:27:08Z</dcterms:created>
  <dcterms:modified xsi:type="dcterms:W3CDTF">2024-05-08T02:12:38Z</dcterms:modified>
  <cp:category/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  <property fmtid="{D5CDD505-2E9C-101B-9397-08002B2CF9AE}" pid="3" name="ContentTypeId">
    <vt:lpwstr>0x0101001974D507A823D04085DD73622516C4C0</vt:lpwstr>
  </property>
</Properties>
</file>